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del\Documents\Github\printnc\BOM\"/>
    </mc:Choice>
  </mc:AlternateContent>
  <xr:revisionPtr revIDLastSave="0" documentId="13_ncr:1_{C2598B03-36E3-4FC7-B9B1-CDA2FD488B4F}" xr6:coauthVersionLast="47" xr6:coauthVersionMax="47" xr10:uidLastSave="{00000000-0000-0000-0000-000000000000}"/>
  <bookViews>
    <workbookView xWindow="-108" yWindow="-108" windowWidth="23256" windowHeight="12456" activeTab="1" xr2:uid="{3B1CD5A1-1674-42F2-BF99-ED5FE0CAAD5C}"/>
  </bookViews>
  <sheets>
    <sheet name="Frezarka" sheetId="1" r:id="rId1"/>
    <sheet name="Elektronik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7" i="1"/>
  <c r="F38" i="1"/>
  <c r="F39" i="1"/>
  <c r="F41" i="1"/>
  <c r="F42" i="1"/>
  <c r="F43" i="1"/>
  <c r="F44" i="1"/>
  <c r="F45" i="1"/>
  <c r="F46" i="1"/>
  <c r="F47" i="1"/>
  <c r="F48" i="1"/>
  <c r="F49" i="1"/>
  <c r="F50" i="1"/>
  <c r="F51" i="1"/>
  <c r="F52" i="1"/>
  <c r="F55" i="1"/>
  <c r="F56" i="1"/>
  <c r="F57" i="1"/>
  <c r="F58" i="1"/>
  <c r="F59" i="1"/>
  <c r="F60" i="1"/>
  <c r="F61" i="1"/>
  <c r="F62" i="1"/>
  <c r="F63" i="1"/>
  <c r="F64" i="1"/>
  <c r="F65" i="1"/>
  <c r="F66" i="1"/>
  <c r="F69" i="1"/>
  <c r="F71" i="1"/>
  <c r="F72" i="1"/>
  <c r="F73" i="1"/>
  <c r="F74" i="1"/>
  <c r="F75" i="1"/>
  <c r="F76" i="1"/>
  <c r="F77" i="1"/>
  <c r="F5" i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5" i="2"/>
  <c r="H5" i="2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H46" i="2"/>
  <c r="I46" i="2"/>
  <c r="J46" i="2"/>
  <c r="K46" i="2"/>
  <c r="H47" i="2"/>
  <c r="I47" i="2"/>
  <c r="J47" i="2"/>
  <c r="K47" i="2"/>
  <c r="H48" i="2"/>
  <c r="I48" i="2"/>
  <c r="J48" i="2"/>
  <c r="K48" i="2"/>
  <c r="H49" i="2"/>
  <c r="I49" i="2"/>
  <c r="J49" i="2"/>
  <c r="K49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H54" i="2"/>
  <c r="I54" i="2"/>
  <c r="J54" i="2"/>
  <c r="K54" i="2"/>
  <c r="H55" i="2"/>
  <c r="I55" i="2"/>
  <c r="J55" i="2"/>
  <c r="K55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H60" i="2"/>
  <c r="I60" i="2"/>
  <c r="J60" i="2"/>
  <c r="K60" i="2"/>
  <c r="F78" i="1" l="1"/>
  <c r="G61" i="2"/>
</calcChain>
</file>

<file path=xl/sharedStrings.xml><?xml version="1.0" encoding="utf-8"?>
<sst xmlns="http://schemas.openxmlformats.org/spreadsheetml/2006/main" count="639" uniqueCount="420">
  <si>
    <t>Model:</t>
  </si>
  <si>
    <t>20260415 PrintNC V4 Metalcutter V4.0.36 Beta4</t>
  </si>
  <si>
    <t>1000 mm x 1000 mm</t>
  </si>
  <si>
    <t>1360 x 80 x 80</t>
  </si>
  <si>
    <t>1325 x 80 x 80</t>
  </si>
  <si>
    <t>150 x 80 x 80</t>
  </si>
  <si>
    <t>80 x 75 x 50</t>
  </si>
  <si>
    <t>150 x 100 x 50</t>
  </si>
  <si>
    <t>1225 x 1200 x 20</t>
  </si>
  <si>
    <t>1005 x 1005 x 125</t>
  </si>
  <si>
    <t>125 x 80 x 8</t>
  </si>
  <si>
    <t>10.39 x 9 x 9</t>
  </si>
  <si>
    <t>89 x 60 x 60</t>
  </si>
  <si>
    <t>26.5 x 25.98 x 25</t>
  </si>
  <si>
    <t>60 x 43 x 20</t>
  </si>
  <si>
    <t>44 x 40 x 39.85</t>
  </si>
  <si>
    <t>25.9 x 6.67 x 0</t>
  </si>
  <si>
    <t>15.01 x 13 x 4</t>
  </si>
  <si>
    <t>21.65 x 20.28 x 18.71</t>
  </si>
  <si>
    <t>89 x 60 x 58.5</t>
  </si>
  <si>
    <t>300 x 125 x 12</t>
  </si>
  <si>
    <t>2.8 x 1.5 x 0</t>
  </si>
  <si>
    <t>100 x 25 x 12</t>
  </si>
  <si>
    <t>32.4 x 19.53 x 2.7</t>
  </si>
  <si>
    <t>29.1 x 12 x 11</t>
  </si>
  <si>
    <t>145 x 125 x 12</t>
  </si>
  <si>
    <t>35.87 x 35 x 30</t>
  </si>
  <si>
    <t>50 x 36 x 30</t>
  </si>
  <si>
    <t>259.73 x 79.9 x 54.8</t>
  </si>
  <si>
    <t>120 x 15 x 9</t>
  </si>
  <si>
    <t>103.5 x 38.5 x 15</t>
  </si>
  <si>
    <t>118.3 x 87.5 x 34</t>
  </si>
  <si>
    <t>20.52 x 18.3 x 10</t>
  </si>
  <si>
    <t>38.1 x 11.53 x 0</t>
  </si>
  <si>
    <t xml:space="preserve"> x </t>
  </si>
  <si>
    <t>Kit Enclosure v26</t>
  </si>
  <si>
    <t>Wasteboard</t>
  </si>
  <si>
    <t>Cutting Area</t>
  </si>
  <si>
    <t>XRollerShim</t>
  </si>
  <si>
    <t>M6 Flush Grease Fitting (2)</t>
  </si>
  <si>
    <t>Y HM12-57</t>
  </si>
  <si>
    <t>Y D30L40 8-10mm Coupler</t>
  </si>
  <si>
    <t>Y BF12</t>
  </si>
  <si>
    <t>Y SFU1610 Nut</t>
  </si>
  <si>
    <t>Y NEMA23 Stepper</t>
  </si>
  <si>
    <t>Y M8 Inductive Sensor</t>
  </si>
  <si>
    <t>X HM12-57</t>
  </si>
  <si>
    <t>X SFU1610 Nut</t>
  </si>
  <si>
    <t>X BF12</t>
  </si>
  <si>
    <t>X D30L40 8-10mm Coupler</t>
  </si>
  <si>
    <t>X NEMA23 Stepper</t>
  </si>
  <si>
    <t>M6 Flush Grease Fitting</t>
  </si>
  <si>
    <t>M6 Flush Grease Fitting(Mirror)</t>
  </si>
  <si>
    <t>X M8 Inductive Sensor</t>
  </si>
  <si>
    <t>M6 Flush Grease Fitting (2)(Mirror)</t>
  </si>
  <si>
    <t>Y2 NEMA23 Stepper</t>
  </si>
  <si>
    <t>Y2 HM12-57</t>
  </si>
  <si>
    <t>Y2 BF12</t>
  </si>
  <si>
    <t>Y2 SFU1610 Nut</t>
  </si>
  <si>
    <t>Y2 D30L40 8-10mm Coupler</t>
  </si>
  <si>
    <t>Y2 M8 Inductive Sensor</t>
  </si>
  <si>
    <t>Z D25L30 8-8mm Coupler</t>
  </si>
  <si>
    <t>Z HM10-57</t>
  </si>
  <si>
    <t>Z M8 Inductive Sensor</t>
  </si>
  <si>
    <t>2Z 300mm Z Plate</t>
  </si>
  <si>
    <t>M6 Washer</t>
  </si>
  <si>
    <t>2Z ZPlate Tram Bar</t>
  </si>
  <si>
    <t>2Z HGH15CA</t>
  </si>
  <si>
    <t>2Z Spindle Clamp Tram Blocks</t>
  </si>
  <si>
    <t>2Z Tram Plate</t>
  </si>
  <si>
    <t>2Z SFU1204 Ballscrew Nut</t>
  </si>
  <si>
    <t>2Z Ballscrew Nut Block</t>
  </si>
  <si>
    <t>80mm 2.2kw Spindle</t>
  </si>
  <si>
    <t>2Z Printed Rail Riser 4x</t>
  </si>
  <si>
    <t>Enclosure_Box</t>
  </si>
  <si>
    <t>Mounting_Plate_Stud</t>
  </si>
  <si>
    <t>hex flange nut_am_B18.2.2.4M - Hex flange nut, M10 x 1.5, with 15 WAF --N</t>
  </si>
  <si>
    <t>Enclosure Mounting Plate</t>
  </si>
  <si>
    <t>Switch Module (2)</t>
  </si>
  <si>
    <t>Switch Module</t>
  </si>
  <si>
    <t>Switch Module (1)</t>
  </si>
  <si>
    <t>Mean Well LRS 150W 24V</t>
  </si>
  <si>
    <t>DM542T Driver</t>
  </si>
  <si>
    <t>HY VFD</t>
  </si>
  <si>
    <t>Wire Duct_25x25x295mm</t>
  </si>
  <si>
    <t>150W Power Supply Clip</t>
  </si>
  <si>
    <t>Path 1</t>
  </si>
  <si>
    <t>Path 2</t>
  </si>
  <si>
    <t>Path 3</t>
  </si>
  <si>
    <t>Path 4</t>
  </si>
  <si>
    <t>PrintNC Structure-&gt;Wasteboard</t>
  </si>
  <si>
    <t>PrintNC Structure-&gt;Cutting Area</t>
  </si>
  <si>
    <t>PrintNC Structure-&gt;XGantry-&gt;XRoller Top-&gt;XRollerShim</t>
  </si>
  <si>
    <t>Hardware-&gt;YAxis Hardware-&gt;Y HGW20CC-&gt;M6 Flush Grease Fitting (2)</t>
  </si>
  <si>
    <t>Hardware-&gt;YAxis Hardware-&gt;Y 1610 Ballscrew Set-&gt;Y HM12-57</t>
  </si>
  <si>
    <t>Hardware-&gt;YAxis Hardware-&gt;Y 1610 Ballscrew Set-&gt;Y D30L40 8-10mm Coupler</t>
  </si>
  <si>
    <t>Hardware-&gt;YAxis Hardware-&gt;Y 1610 Ballscrew Set-&gt;Y BF12</t>
  </si>
  <si>
    <t>Hardware-&gt;YAxis Hardware-&gt;Y 1610 Ballscrew Set-&gt;Y SFU1610 Nut</t>
  </si>
  <si>
    <t>Hardware-&gt;YAxis Hardware-&gt;Y NEMA23 Stepper</t>
  </si>
  <si>
    <t>Hardware-&gt;YAxis Hardware-&gt;Y M8 Inductive Sensor</t>
  </si>
  <si>
    <t>Hardware-&gt;XAxis Hardware-&gt;X 1610 Ballscrew Set-&gt;X HM12-57</t>
  </si>
  <si>
    <t>Hardware-&gt;XAxis Hardware-&gt;X 1610 Ballscrew Set-&gt;X SFU1610 Nut</t>
  </si>
  <si>
    <t>Hardware-&gt;XAxis Hardware-&gt;X 1610 Ballscrew Set-&gt;X BF12</t>
  </si>
  <si>
    <t>Hardware-&gt;XAxis Hardware-&gt;X 1610 Ballscrew Set-&gt;X D30L40 8-10mm Coupler</t>
  </si>
  <si>
    <t>Hardware-&gt;XAxis Hardware-&gt;X NEMA23 Stepper</t>
  </si>
  <si>
    <t>Hardware-&gt;XAxis Hardware-&gt;X HGW20CC-&gt;M6 Flush Grease Fitting</t>
  </si>
  <si>
    <t>Hardware-&gt;XAxis Hardware-&gt;X HGW20CC(Mirror)-&gt;M6 Flush Grease Fitting(Mirror)</t>
  </si>
  <si>
    <t>Hardware-&gt;XAxis Hardware-&gt;X M8 Inductive Sensor</t>
  </si>
  <si>
    <t>Hardware-&gt;Y2Axis Hardware-&gt;Y2 HGW20CC-&gt;M6 Flush Grease Fitting (2)(Mirror)</t>
  </si>
  <si>
    <t>Hardware-&gt;Y2Axis Hardware-&gt;Y2 NEMA23 Stepper</t>
  </si>
  <si>
    <t>Hardware-&gt;Y2Axis Hardware-&gt;Y2 1610 Ballscrew Set-&gt;Y2 HM12-57</t>
  </si>
  <si>
    <t>Hardware-&gt;Y2Axis Hardware-&gt;Y2 1610 Ballscrew Set-&gt;Y2 BF12</t>
  </si>
  <si>
    <t>Hardware-&gt;Y2Axis Hardware-&gt;Y2 1610 Ballscrew Set-&gt;Y2 SFU1610 Nut</t>
  </si>
  <si>
    <t>Hardware-&gt;Y2Axis Hardware-&gt;Y2 1610 Ballscrew Set-&gt;Y2 D30L40 8-10mm Coupler</t>
  </si>
  <si>
    <t>Hardware-&gt;Y2Axis Hardware-&gt;Y2 M8 Inductive Sensor</t>
  </si>
  <si>
    <t>Hardware-&gt;ZAxis Hardware-&gt;Z 1204 Ballscrew Set-&gt;Z D25L30 8-8mm Coupler</t>
  </si>
  <si>
    <t>Hardware-&gt;ZAxis Hardware-&gt;Z 1204 Ballscrew Set-&gt;Z HM10-57</t>
  </si>
  <si>
    <t xml:space="preserve">Hardware-&gt;ZAxis Hardware-&gt;Z NEMA23 Stepper </t>
  </si>
  <si>
    <t>Hardware-&gt;ZAxis Hardware-&gt;Z M8 Inductive Sensor</t>
  </si>
  <si>
    <t>Zaxis Dual Carriage HGH15CA-&gt;2Z 300mm Z Plate</t>
  </si>
  <si>
    <t>Zaxis Dual Carriage HGH15CA-&gt;2Z Fasteners-&gt;M6 Washer</t>
  </si>
  <si>
    <t>Zaxis Dual Carriage HGH15CA-&gt;2Z ZPlate Tram Bar</t>
  </si>
  <si>
    <t>Zaxis Dual Carriage HGH15CA-&gt;2Z HGH15CA</t>
  </si>
  <si>
    <t>Zaxis Dual Carriage HGH15CA-&gt;2Z Spindle Clamp Tram Blocks</t>
  </si>
  <si>
    <t>Zaxis Dual Carriage HGH15CA-&gt;2Z Tram Plate</t>
  </si>
  <si>
    <t>Zaxis Dual Carriage HGH15CA-&gt;2Z SFU1204 Ballscrew Nut</t>
  </si>
  <si>
    <t>Zaxis Dual Carriage HGH15CA-&gt;2Z Ballscrew Nut Block</t>
  </si>
  <si>
    <t>Zaxis Dual Carriage HGH15CA-&gt;80mm 2.2kw Spindle</t>
  </si>
  <si>
    <t>Zaxis Dual Carriage HGH15CA-&gt;2Z Temp Plywood Plates-&gt;2Z Printed Rail Riser 4x</t>
  </si>
  <si>
    <t>Enclosure_Box-&gt;Enclosure_Ground_Stud</t>
  </si>
  <si>
    <t>Enclosure_Box-&gt;Mounting_Plate_Stud</t>
  </si>
  <si>
    <t>Enclosure_Box-&gt;hex flange nut_am_B18.2.2.4M - Hex flange nut, M10 x 1.5, with 15 WAF --N</t>
  </si>
  <si>
    <t>Enclosure_Box-&gt;Mounting_Plate_Stud:2</t>
  </si>
  <si>
    <t>Enclosure_Box-&gt;hex flange nut_am_B18.2.2.4M - Hex flange nut, M10 x 1.5, with 15 WAF --N:4</t>
  </si>
  <si>
    <t>Enclosure_Box-&gt;Mounting_Plate_Stud:3</t>
  </si>
  <si>
    <t>Enclosure_Box-&gt;hex flange nut_am_B18.2.2.4M - Hex flange nut, M10 x 1.5, with 15 WAF --N:5</t>
  </si>
  <si>
    <t>Enclosure_Box-&gt;Mounting_Plate_Stud:4</t>
  </si>
  <si>
    <t>Enclosure_Box-&gt;hex flange nut_am_B18.2.2.4M - Hex flange nut, M10 x 1.5, with 15 WAF --N:6</t>
  </si>
  <si>
    <t>Electronic Components-&gt;Red E-Stop Switch</t>
  </si>
  <si>
    <t>Electronic Components-&gt;Red E-Stop Switch-&gt;Switch Module (2)</t>
  </si>
  <si>
    <t>Electronic Components-&gt;Red E-Stop Switch-&gt;Switch Module (2):2</t>
  </si>
  <si>
    <t>Electronic Components-&gt;Red Stop Switch</t>
  </si>
  <si>
    <t>Electronic Components-&gt;Red Stop Switch-&gt;Switch Module</t>
  </si>
  <si>
    <t>Electronic Components-&gt;Red Stop Switch-&gt;Switch Light Contact</t>
  </si>
  <si>
    <t>Electronic Components-&gt;Red Stop Switch-&gt;Switch Module:2</t>
  </si>
  <si>
    <t>Electronic Components-&gt;Green Start Switch</t>
  </si>
  <si>
    <t>Electronic Components-&gt;Green Start Switch-&gt;Switch Module (1)</t>
  </si>
  <si>
    <t>Electronic Components-&gt;Green Start Switch-&gt;Switch Light Contact (1)</t>
  </si>
  <si>
    <t>Electronic Components-&gt;Green Start Switch-&gt;Switch Module (1):2</t>
  </si>
  <si>
    <t>Electronic Components-&gt;HY VFD Controller</t>
  </si>
  <si>
    <t>Electronic Components-&gt;120mm Fan Filter</t>
  </si>
  <si>
    <t>Electronic Components-&gt;8774N18_DC Equipment-Cooling Fan</t>
  </si>
  <si>
    <t>Electronic Components-&gt;MW LRS-350-48 Power Supply</t>
  </si>
  <si>
    <t>Electronic Components-&gt;Mean Well LRS 150W 24V</t>
  </si>
  <si>
    <t>Electronic Components-&gt;Emi Filter Din Rail Mount</t>
  </si>
  <si>
    <t>Electronic Components-&gt;20A EMI Filter</t>
  </si>
  <si>
    <t>Electronic Components-&gt;7026K616_DIN-Rail Mount AC Equipment Circuit Breaker</t>
  </si>
  <si>
    <t>Electronic Components-&gt;lc1d32bl_1</t>
  </si>
  <si>
    <t>Electronic Components-&gt;8774N18_DC Equipment-Cooling Fan (1)</t>
  </si>
  <si>
    <t>Electronic Components-&gt;DM542T Driver:2</t>
  </si>
  <si>
    <t>Electronic Components-&gt;HY VFD</t>
  </si>
  <si>
    <t>Din Rail and Wire Ducts-&gt;DIN Rail 290mm</t>
  </si>
  <si>
    <t>Din Rail and Wire Ducts-&gt;Wire Duct_25x25x295mm</t>
  </si>
  <si>
    <t>Din Rail and Wire Ducts-&gt;Wire Duct_25x25x200mm</t>
  </si>
  <si>
    <t>Din Rail and Wire Ducts-&gt;Wire Duct_25x25x200mm:3</t>
  </si>
  <si>
    <t>Din Rail and Wire Ducts-&gt;Wire Duct_25x25x200mm:2</t>
  </si>
  <si>
    <t>Din Rail and Wire Ducts-&gt;Wire Duct_25x25x295mm:2</t>
  </si>
  <si>
    <t>Din Rail and Wire Ducts-&gt;Wire Duct_25x25x150mm</t>
  </si>
  <si>
    <t>Din Rail and Wire Ducts-&gt;Wire Duct_25x25x200mm:4</t>
  </si>
  <si>
    <t>3d Printed Parts-&gt;XYZAB Terminals Cover</t>
  </si>
  <si>
    <t>3d Printed Parts-&gt;AC Plate - 1 SW 1 Gland 1 Socket 5 Keystone-&gt;M20 Cable Gland-&gt;M20 Body (1) (1) (1)(Mirror)</t>
  </si>
  <si>
    <t>3d Printed Parts-&gt;AC Plate - 1 SW 1 Gland 1 Socket 5 Keystone-&gt;M20 Cable Gland-&gt;M20 Nut (1) (1) (1)(Mirror)</t>
  </si>
  <si>
    <t>3d Printed Parts-&gt;AC Plate - 1 SW 1 Gland 1 Socket 5 Keystone-&gt;M20 Cable Gland-&gt;M20 Lock Nut</t>
  </si>
  <si>
    <t>3d Printed Parts-&gt;AC Plate - 1 SW 1 Gland 1 Socket 5 Keystone-&gt;2P Toggle Switch 16A 250V (2)(Mirror)</t>
  </si>
  <si>
    <t>3d Printed Parts-&gt;AC Plate - 1 SW 1 Gland 1 Socket 5 Keystone-&gt;C20 Socket</t>
  </si>
  <si>
    <t>3d Printed Parts-&gt;AC Plate - 1 SW 1 Gland 1 Socket 5 Keystone-&gt;AC Plate</t>
  </si>
  <si>
    <t>3d Printed Parts-&gt;VFD Display and Switches Plate</t>
  </si>
  <si>
    <t>3d Printed Parts-&gt;Wago 4x 221-415 Mount</t>
  </si>
  <si>
    <t>3d Printed Parts-&gt;Flexihal or Mesa7i96s Mounting Plate (1)</t>
  </si>
  <si>
    <t>3d Printed Parts-&gt;Flexihal or Mesa7i96s Mounting Plate (1)-&gt;GH2k or Relay Din Clamp 2x</t>
  </si>
  <si>
    <t>3d Printed Parts-&gt;Flexihal or Mesa7i96s Mounting Plate (1)-&gt;GH2k or Relay Din Clamp 2x:2</t>
  </si>
  <si>
    <t>3d Printed Parts-&gt;150W Power Supply Clip</t>
  </si>
  <si>
    <t>3d Printed Parts-&gt;350W Power Supply Clip</t>
  </si>
  <si>
    <t>3d Printed Parts-&gt;450W Power Supply Clip</t>
  </si>
  <si>
    <t>Base Name</t>
  </si>
  <si>
    <t>Occurrences</t>
  </si>
  <si>
    <t>Total Qty</t>
  </si>
  <si>
    <t>#Distinct Names</t>
  </si>
  <si>
    <t>#Distinct Dimensions</t>
  </si>
  <si>
    <t>#Distinct Paths</t>
  </si>
  <si>
    <t>Dimension Examples</t>
  </si>
  <si>
    <t>Path Examples</t>
  </si>
  <si>
    <t>Rows (Excel)</t>
  </si>
  <si>
    <t>Merge Confidence</t>
  </si>
  <si>
    <t>39.95 x 25.55 x 8.2 | 12.2 x 8.3 x 3.4</t>
  </si>
  <si>
    <t>Electronic Components-&gt;Red Stop Switch-&gt;Switch Module | Electronic Components-&gt;Red Stop Switch-&gt;Switch Module:2</t>
  </si>
  <si>
    <t>74, 75, 76, 77, 78, 79, 80, 81, 82, 94, 95, 96…</t>
  </si>
  <si>
    <t>Low</t>
  </si>
  <si>
    <t>Electronic Components-&gt;Green Start Switch-&gt;Switch Module (1) | Electronic Components-&gt;Green Start Switch-&gt;Switch Module (1):2</t>
  </si>
  <si>
    <t>113, 114, 115, 116, 117, 118, 119, 120, 121, 133, 134, 135…</t>
  </si>
  <si>
    <t>Electronic Components-&gt;Red E-Stop Switch-&gt;Switch Module (2) | Electronic Components-&gt;Red E-Stop Switch-&gt;Switch Module (2):2</t>
  </si>
  <si>
    <t>46, 47, 48, 49, 50, 51, 52, 53, 54, 55, 56, 57…</t>
  </si>
  <si>
    <t>Medium</t>
  </si>
  <si>
    <t>Electronic Components-&gt;DM542T Driver | Electronic Components-&gt;DM542T Driver:2</t>
  </si>
  <si>
    <t>201, 204, 205, 206, 207</t>
  </si>
  <si>
    <t>High</t>
  </si>
  <si>
    <t>Enclosure_Box-&gt;hex flange nut_am_B18.2.2.4M - Hex flange nut, M10 x 1.5, with 15 WAF --N | Enclosure_Box-&gt;hex flange nut_am_B18.2.2.4M - Hex flange nut, M10 x 1.5, with 15 WAF --N:4</t>
  </si>
  <si>
    <t>18, 20, 22, 24</t>
  </si>
  <si>
    <t>Enclosure_Box-&gt;Mounting_Plate_Stud | Enclosure_Box-&gt;Mounting_Plate_Stud:2</t>
  </si>
  <si>
    <t>7, 19, 21, 23</t>
  </si>
  <si>
    <t>295 x 25.24 x 5.58 | 295 x 25.24 x 23.35</t>
  </si>
  <si>
    <t>Din Rail and Wire Ducts-&gt;Wire Duct_25x25x295mm | Din Rail and Wire Ducts-&gt;Wire Duct_25x25x295mm:2</t>
  </si>
  <si>
    <t>215, 216, 223, 224</t>
  </si>
  <si>
    <t>170 x 125 x 59.52 | 170 x 125 x 79.98</t>
  </si>
  <si>
    <t>210, 211, 212, 213</t>
  </si>
  <si>
    <t>159 x 97 x 29.5 | 4.8 x 4.03 x 3.33</t>
  </si>
  <si>
    <t>147, 148, 149, 150</t>
  </si>
  <si>
    <t>257, 258</t>
  </si>
  <si>
    <t>ID</t>
  </si>
  <si>
    <t>PrintNC Structure</t>
  </si>
  <si>
    <t/>
  </si>
  <si>
    <t>XGantry</t>
  </si>
  <si>
    <t>XRoller Top</t>
  </si>
  <si>
    <t>Hardware</t>
  </si>
  <si>
    <t>YAxis Hardware</t>
  </si>
  <si>
    <t>Y HGW20CC</t>
  </si>
  <si>
    <t>Y 1610 Ballscrew Set</t>
  </si>
  <si>
    <t>XAxis Hardware</t>
  </si>
  <si>
    <t>X 1610 Ballscrew Set</t>
  </si>
  <si>
    <t>X HGW20CC</t>
  </si>
  <si>
    <t>X HGW20CC(Mirror)</t>
  </si>
  <si>
    <t>Y2Axis Hardware</t>
  </si>
  <si>
    <t>Y2 HGW20CC</t>
  </si>
  <si>
    <t>Y2 1610 Ballscrew Set</t>
  </si>
  <si>
    <t>ZAxis Hardware</t>
  </si>
  <si>
    <t>Z 1204 Ballscrew Set</t>
  </si>
  <si>
    <t xml:space="preserve">Z NEMA23 Stepper </t>
  </si>
  <si>
    <t>Zaxis Dual Carriage HGH15CA</t>
  </si>
  <si>
    <t>2Z Fasteners</t>
  </si>
  <si>
    <t>2Z Temp Plywood Plates</t>
  </si>
  <si>
    <t>https://allegro.pl/kategoria/materialy-i-akcesoria-sruby-nakretki-podkladki-121600?string=%C5%9Bruba+m4x8</t>
  </si>
  <si>
    <t>https://allegro.pl/listing?string=%C5%9Bruba+m4x12+din7985</t>
  </si>
  <si>
    <t>https://allegro.pl/listing?string=%C5%9Bruba+m4x16+din7985</t>
  </si>
  <si>
    <t>https://allegro.pl/listing?string=%C5%9Bruba+m5x12+din7985</t>
  </si>
  <si>
    <t>https://allegro.pl/listing?string=%C5%9Bruba+m5x20+din7985</t>
  </si>
  <si>
    <t>https://allegro.pl/listing?string=%C5%9Bruba+m6x12+din7985</t>
  </si>
  <si>
    <t>https://allegro.pl/listing?string=%C5%9Bruba+m6x20+din7985</t>
  </si>
  <si>
    <t>https://allegro.pl/listing?string=%C5%9Bruba+m6x30+din7985</t>
  </si>
  <si>
    <t>https://allegro.pl/listing?string=%C5%9Bruba+m6x50+din7985</t>
  </si>
  <si>
    <t>https://allegro.pl/listing?string=wkr%C4%99t+dociskowy+m8x8+imbus</t>
  </si>
  <si>
    <t>https://allegro.pl/listing?string=%C5%9Bruba+m8x45+din933</t>
  </si>
  <si>
    <t>https://allegro.pl/listing?string=pr%C4%99t+gwintowany+m5</t>
  </si>
  <si>
    <t>https://allegro.pl/listing?string=nakr%C4%99tka+m5+din934</t>
  </si>
  <si>
    <t>https://allegro.pl/listing?string=prowadnica+liniowa+hgr20</t>
  </si>
  <si>
    <t>https://allegro.pl/listing?string=prowadnica+liniowa+hgr15</t>
  </si>
  <si>
    <t>https://allegro.pl/listing?string=hgh15ca</t>
  </si>
  <si>
    <t>https://allegro.pl/listing?string=hgw20cc</t>
  </si>
  <si>
    <t>https://allegro.pl/listing?string=%C5%9Bruba+kulowa+sfu1610+bk12+bf12</t>
  </si>
  <si>
    <t>https://allegro.pl/listing?string=%C5%9Bruba+kulowa+sfu1204</t>
  </si>
  <si>
    <t>https://allegro.pl/listing?string=uchwyt+wrzeciona+80mm</t>
  </si>
  <si>
    <t>https://allegro.pl/listing?string=p%C5%82yta+mdf+18mm</t>
  </si>
  <si>
    <t>https://allegro.pl/listing?string=p%C5%82yta+aluminiowa+10mm</t>
  </si>
  <si>
    <t>https://allegro.pl/listing?string=p%C5%82yta+aluminiowa+6mm</t>
  </si>
  <si>
    <t>https://allegro.pl/listing?string=smarowniczka+m6+p%C5%82aska</t>
  </si>
  <si>
    <t>https://allegro.pl/listing?string=mocowanie+silnika+nema23+hm12-57</t>
  </si>
  <si>
    <t>https://allegro.pl/listing?string=sprz%C4%99g%C5%82o+d30l40+8x10</t>
  </si>
  <si>
    <t>https://allegro.pl/listing?string=podpora+bf12+%C5%9Bruby+kulowej</t>
  </si>
  <si>
    <t>https://allegro.pl/listing?string=nakr%C4%99tka+sfu1610+kulowa</t>
  </si>
  <si>
    <t>https://allegro.pl/listing?string=silnik+krokowy+nema23</t>
  </si>
  <si>
    <t>https://allegro.pl/listing?string=czujnik+indukcyjny+m8+pnp+no</t>
  </si>
  <si>
    <t>https://allegro.pl/listing?string=sprz%C4%99g%C5%82o+d25l30+8x8</t>
  </si>
  <si>
    <t>https://allegro.pl/listing?string=mocowanie+silnika+nema23+hm10-57</t>
  </si>
  <si>
    <t>https://allegro.pl/listing?string=podk%C5%82adka+m6+din125</t>
  </si>
  <si>
    <t>https://allegro.pl/listing?string=nakr%C4%99tka+sfu1204+kulowa</t>
  </si>
  <si>
    <t>https://allegro.pl/listing?string=wrzeciono+2.2kw+80mm</t>
  </si>
  <si>
    <t>https://allegro.pl/listing?string=filament+pla+1kg</t>
  </si>
  <si>
    <t>https://allegro.pl/listing?string=obudowa+elektryczna+metalowa+IP65</t>
  </si>
  <si>
    <t>https://allegro.pl/listing?string=szpilka+gwintowana+m10</t>
  </si>
  <si>
    <t>https://allegro.pl/listing?string=blacha+stalowa+2mm</t>
  </si>
  <si>
    <t>https://allegro.pl/listing?string=nakr%C4%99tka+ko%C5%82nierzowa+m10</t>
  </si>
  <si>
    <t>https://allegro.pl/listing?string=p%C5%82yta+monta%C5%BCowa+rozdzielnicy</t>
  </si>
  <si>
    <t>https://allegro.pl/listing?string=przycisk+bezpiecze%C5%84stwa+grzybkowy+22mm</t>
  </si>
  <si>
    <t>https://allegro.pl/listing?string=modu%C5%82+styk+22mm+NC</t>
  </si>
  <si>
    <t>https://allegro.pl/listing?string=przycisk+stop+czerwony+22mm</t>
  </si>
  <si>
    <t>https://allegro.pl/listing?string=modu%C5%82+LED+22mm+24V</t>
  </si>
  <si>
    <t>https://allegro.pl/listing?string=modu%C5%82+styk+22mm+NO</t>
  </si>
  <si>
    <t>https://allegro.pl/listing?string=przycisk+start+zielony+22mm</t>
  </si>
  <si>
    <t>https://allegro.pl/listing?string=falownik+hy+2.2kw</t>
  </si>
  <si>
    <t>https://allegro.pl/listing?string=filtr+wentylatora+120mm</t>
  </si>
  <si>
    <t>https://allegro.pl/listing?string=wentylator+120mm+24v+dc</t>
  </si>
  <si>
    <t>https://allegro.pl/listing?string=zasilacz+mean+well+lrs-350-48</t>
  </si>
  <si>
    <t>https://allegro.pl/listing?string=zasilacz+mean+well+lrs-150-24</t>
  </si>
  <si>
    <t>https://allegro.pl/listing?string=filtr+emi+20a+din</t>
  </si>
  <si>
    <t>https://allegro.pl/listing?string=wy%C5%82%C4%85cznik+nadpr%C4%85dowy+din+c16</t>
  </si>
  <si>
    <t>https://allegro.pl/listing?string=stycznik+lc1d32</t>
  </si>
  <si>
    <t>https://allegro.pl/listing?string=sterownik+dm542t</t>
  </si>
  <si>
    <t>https://allegro.pl/listing?string=szyna+din+35mm</t>
  </si>
  <si>
    <t>https://allegro.pl/listing?string=koryto+kablowe+25x25</t>
  </si>
  <si>
    <t>https://allegro.pl/listing?string=d%C5%82awik+kablowy+m20</t>
  </si>
  <si>
    <t>https://allegro.pl/listing?string=prze%C5%82%C4%85cznik+ko%C5%82yskowy+2P+16A+250V</t>
  </si>
  <si>
    <t>https://allegro.pl/listing?string=gniazdo+iec+c20+panelowe</t>
  </si>
  <si>
    <t>https://allegro.pl/listing?string=uchwyt+din+przeka%C5%BAnik</t>
  </si>
  <si>
    <t>Pole robocze:</t>
  </si>
  <si>
    <t>Link Allegro</t>
  </si>
  <si>
    <t>Nazwa</t>
  </si>
  <si>
    <t>Ilość</t>
  </si>
  <si>
    <t>Cena jedn. (PLN)</t>
  </si>
  <si>
    <t>Cena [PLN]</t>
  </si>
  <si>
    <t>Śruba M4x8 łeb walcowy</t>
  </si>
  <si>
    <t>Śruba M4x12</t>
  </si>
  <si>
    <t>Śruba M4x16</t>
  </si>
  <si>
    <t>Śruba M5x12</t>
  </si>
  <si>
    <t>Śruba M5x20</t>
  </si>
  <si>
    <t>Śruba M6x12</t>
  </si>
  <si>
    <t>Śruba M6x20</t>
  </si>
  <si>
    <t>Śruba M6x30</t>
  </si>
  <si>
    <t>Śruba M6x50</t>
  </si>
  <si>
    <t>Wkręt dociskowy M8x8</t>
  </si>
  <si>
    <t>Śruba M8x45</t>
  </si>
  <si>
    <t>Pręt gwintowany M5 (oś X)</t>
  </si>
  <si>
    <t>Pręt gwintowany M5 (oś Y)</t>
  </si>
  <si>
    <t>Nakrętka M5</t>
  </si>
  <si>
    <t>Szyna HGR20 (oś X)</t>
  </si>
  <si>
    <t>Szyna HGR20 (oś Y)</t>
  </si>
  <si>
    <t>Szyna HGR20 (oś Y2)</t>
  </si>
  <si>
    <t>Szyna HGR15 (oś 2Z)</t>
  </si>
  <si>
    <t>Wózek liniowy HGH15CA</t>
  </si>
  <si>
    <t>Wózek liniowy HGW20CC</t>
  </si>
  <si>
    <t>Śruba kulowa 1610 (oś Y)</t>
  </si>
  <si>
    <t>Śruba kulowa 1610 (oś X)</t>
  </si>
  <si>
    <t>Śruba kulowa 1610 (oś Y2)</t>
  </si>
  <si>
    <t>Śruba kulowa 1204 (oś Z)</t>
  </si>
  <si>
    <t>Uchwyt wrzeciona 80mm</t>
  </si>
  <si>
    <t>Profil stalowy: rama oś X</t>
  </si>
  <si>
    <t>Profil stalowy: rama oś Y</t>
  </si>
  <si>
    <t>Profil stalowy: wózek oś Y</t>
  </si>
  <si>
    <t>Profil stalowy: usztywnienie wózka Y</t>
  </si>
  <si>
    <t>Profil stalowy: belka bramowa X</t>
  </si>
  <si>
    <t>Profil stalowy: wózek oś X</t>
  </si>
  <si>
    <t>Profil stalowy: kątownik wózka X</t>
  </si>
  <si>
    <t>Pole robocze</t>
  </si>
  <si>
    <t>Podkładka dystansowa wózka X</t>
  </si>
  <si>
    <t>Smarowniczka płaska M6 (2)</t>
  </si>
  <si>
    <t>Mocowanie silnika HM12-57 (Y)</t>
  </si>
  <si>
    <t>Sprzęgło D30L40 8-10mm (Y)</t>
  </si>
  <si>
    <t>Podpora BF12 (Y)</t>
  </si>
  <si>
    <t>Nakrętka kulowa SFU1610 (Y)</t>
  </si>
  <si>
    <t>Silnik krokowy NEMA23 (Y)</t>
  </si>
  <si>
    <t>Czujnik indukcyjny M8 (Y)</t>
  </si>
  <si>
    <t>Mocowanie silnika HM12-57 (X)</t>
  </si>
  <si>
    <t>Nakrętka kulowa SFU1610 (X)</t>
  </si>
  <si>
    <t>Podpora BF12 (X)</t>
  </si>
  <si>
    <t>Sprzęgło D30L40 8-10mm (X)</t>
  </si>
  <si>
    <t>Silnik krokowy NEMA23 (X)</t>
  </si>
  <si>
    <t>Smarowniczka płaska M6</t>
  </si>
  <si>
    <t>Smarowniczka płaska M6 (mirror)</t>
  </si>
  <si>
    <t>Czujnik indukcyjny M8 (X)</t>
  </si>
  <si>
    <t>Smarowniczka płaska M6 (2)(mirror)</t>
  </si>
  <si>
    <t>Silnik krokowy NEMA23 (Y2)</t>
  </si>
  <si>
    <t>Mocowanie silnika HM12-57 (Y2)</t>
  </si>
  <si>
    <t>Podpora BF12 (Y2)</t>
  </si>
  <si>
    <t>Nakrętka kulowa SFU1610 (Y2)</t>
  </si>
  <si>
    <t>Sprzęgło D30L40 8-10mm (Y2)</t>
  </si>
  <si>
    <t>Czujnik indukcyjny M8 (Y2)</t>
  </si>
  <si>
    <t>Sprzęgło D25L30 8-8mm (Z)</t>
  </si>
  <si>
    <t>Mocowanie silnika HM10-57 (Z)</t>
  </si>
  <si>
    <t>Silnik krokowy NEMA23 (Z)</t>
  </si>
  <si>
    <t>Czujnik indukcyjny M8 (Z)</t>
  </si>
  <si>
    <t>2Z płyta Z 300mm</t>
  </si>
  <si>
    <t>Podkładka M6</t>
  </si>
  <si>
    <t>2Z belka trammingu płyty Z</t>
  </si>
  <si>
    <t>2Z wózek HGH15CA</t>
  </si>
  <si>
    <t>2Z kostki trammingu uchwytu wrzeciona</t>
  </si>
  <si>
    <t>2Z płyta trammingu</t>
  </si>
  <si>
    <t>2Z nakrętka kulowa SFU1204</t>
  </si>
  <si>
    <t>2Z blok nakrętki śruby kulowej</t>
  </si>
  <si>
    <t>Wrzeciono 2.2kW 80mm</t>
  </si>
  <si>
    <t>2Z drukowany wspornik szyny 4x</t>
  </si>
  <si>
    <t>https://expatria.myshopify.com/products/flexihal-isolated-cnc-controller-rev-a7-for-grblhal-and-linuxcnc</t>
  </si>
  <si>
    <t>Obudowa - skrzynia</t>
  </si>
  <si>
    <t>Szpilka uziemienia obudowy</t>
  </si>
  <si>
    <t>Szpilka płyty montażowej</t>
  </si>
  <si>
    <t>Nakrętka kołnierzowa M10 x 1,5 (15 WAF)</t>
  </si>
  <si>
    <t>Płyta montażowa obudowy</t>
  </si>
  <si>
    <t>Przycisk bezpieczeństwa grzybkowy (czerwony)</t>
  </si>
  <si>
    <t>Moduł styku (2)</t>
  </si>
  <si>
    <t>Przycisk stop (czerwony)</t>
  </si>
  <si>
    <t>Moduł styku</t>
  </si>
  <si>
    <t>Moduł podświetlenia przycisku</t>
  </si>
  <si>
    <t>Przycisk start (zielony)</t>
  </si>
  <si>
    <t>Moduł styku (1)</t>
  </si>
  <si>
    <t>Falownik HY VFD</t>
  </si>
  <si>
    <t>Filtr wentylatora 120mm</t>
  </si>
  <si>
    <t>Wentylator DC 120mm</t>
  </si>
  <si>
    <t>Zasilacz MW LRS-350-48</t>
  </si>
  <si>
    <t>Zasilacz Mean Well LRS 150W 24V</t>
  </si>
  <si>
    <t>Filtr EMI na szynę DIN</t>
  </si>
  <si>
    <t>Filtr EMI 20A</t>
  </si>
  <si>
    <t>Wyłącznik nadprądowy AC na szynę DIN</t>
  </si>
  <si>
    <t>Stycznik LC1D32</t>
  </si>
  <si>
    <t>Sterownik DM542T</t>
  </si>
  <si>
    <t>Płytka Flexihal</t>
  </si>
  <si>
    <t>Szyna DIN 290mm</t>
  </si>
  <si>
    <t>Koryto kablowe 25x25x295mm</t>
  </si>
  <si>
    <t>Koryto kablowe 25x25x200mm</t>
  </si>
  <si>
    <t>Koryto kablowe 25x25x150mm</t>
  </si>
  <si>
    <t>Osłona zacisków XYZAB</t>
  </si>
  <si>
    <t>Dławik M20 - korpus (mirror)</t>
  </si>
  <si>
    <t>Dławik M20 - nakrętka (mirror)</t>
  </si>
  <si>
    <t>Dławik M20 - nakrętka kontrująca</t>
  </si>
  <si>
    <t>Gniazdo IEC C20</t>
  </si>
  <si>
    <t>Płyta AC</t>
  </si>
  <si>
    <t>Płyta wyświetlacza i przełączników VFD</t>
  </si>
  <si>
    <t>Mocowanie Wago 4x 221-415</t>
  </si>
  <si>
    <t>Płyta montażowa Flexihal/Mesa7i96s (1)</t>
  </si>
  <si>
    <t>Uchwyt DIN GH2k/przekaźnik 2x</t>
  </si>
  <si>
    <t xml:space="preserve">Wentylator DC 120mm </t>
  </si>
  <si>
    <t>Przełącznik kołyskowy 2P 16A 250V</t>
  </si>
  <si>
    <t>Płyta drewniana</t>
  </si>
  <si>
    <t>Wymiary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</si>
</sst>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DEDED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18" fillId="33" borderId="0" xfId="0" applyFont="1" applyFill="1" applyAlignment="1">
      <alignment horizontal="center"/>
    </xf>
    <xf numFmtId="49" fontId="0" fillId="0" borderId="0" xfId="0" applyNumberFormat="1" applyAlignment="1">
      <alignment horizontal="left"/>
    </xf>
    <xf numFmtId="1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19" fillId="34" borderId="0" xfId="0" applyFont="1" applyFill="1" applyAlignment="1">
      <alignment horizontal="center"/>
    </xf>
    <xf numFmtId="0" fontId="20" fillId="0" borderId="0" xfId="42"/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49" fontId="0" fillId="35" borderId="0" xfId="0" applyNumberFormat="1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42" builtinId="8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3">
    <dxf>
      <font>
        <b/>
        <color rgb="FFFFFFFF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08E61E-EFFE-436C-9D4C-C58C9E37FA1F}" name="MergeCandidates_Elektronika" displayName="MergeCandidates_Elektronika" ref="M4:V14" totalsRowShown="0" headerRowDxfId="0">
  <autoFilter ref="M4:V14" xr:uid="{A208E61E-EFFE-436C-9D4C-C58C9E37FA1F}"/>
  <tableColumns count="10">
    <tableColumn id="1" xr3:uid="{68BCD33A-CBE4-46A4-B41F-1569408400D2}" name="Base Name"/>
    <tableColumn id="2" xr3:uid="{45B1A912-736C-4638-A777-018611578AD7}" name="Occurrences" dataDxfId="2"/>
    <tableColumn id="3" xr3:uid="{90324198-AA5C-4E3D-9E1E-889623FCFD97}" name="Total Qty" dataDxfId="1"/>
    <tableColumn id="4" xr3:uid="{ACC82082-240C-4095-9738-B138445C3F73}" name="#Distinct Names"/>
    <tableColumn id="5" xr3:uid="{A748C2D5-6762-4169-BE3D-D63A2DC55C91}" name="#Distinct Dimensions"/>
    <tableColumn id="6" xr3:uid="{9BB81D35-F07A-4A07-8363-57F854A46B3A}" name="#Distinct Paths"/>
    <tableColumn id="7" xr3:uid="{B5815722-652C-4D6F-99CC-FD7F959E92C8}" name="Dimension Examples"/>
    <tableColumn id="8" xr3:uid="{FAD71C1B-94B0-45C4-BDC1-47144EA008EE}" name="Path Examples"/>
    <tableColumn id="9" xr3:uid="{C477452F-E43E-41CD-98D6-777151E02CC8}" name="Rows (Excel)"/>
    <tableColumn id="10" xr3:uid="{529974B5-9BC7-48E8-B784-58244D327F49}" name="Merge Conf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32F575-89D0-43DC-8683-89891890FAE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f67755e-0b93-4d28-bd7c-8ec43ba3e14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llegro.pl/listing?string=mocowanie+silnika+nema23+hm12-57" TargetMode="External"/><Relationship Id="rId18" Type="http://schemas.openxmlformats.org/officeDocument/2006/relationships/hyperlink" Target="https://allegro.pl/listing?string=silnik+krokowy+nema23" TargetMode="External"/><Relationship Id="rId26" Type="http://schemas.openxmlformats.org/officeDocument/2006/relationships/hyperlink" Target="https://allegro.pl/listing?string=smarowniczka+m6+p%C5%82aska" TargetMode="External"/><Relationship Id="rId39" Type="http://schemas.openxmlformats.org/officeDocument/2006/relationships/hyperlink" Target="https://allegro.pl/listing?string=hgh15ca" TargetMode="External"/><Relationship Id="rId21" Type="http://schemas.openxmlformats.org/officeDocument/2006/relationships/hyperlink" Target="https://allegro.pl/listing?string=nakr%C4%99tka+sfu1610+kulowa" TargetMode="External"/><Relationship Id="rId34" Type="http://schemas.openxmlformats.org/officeDocument/2006/relationships/hyperlink" Target="https://allegro.pl/listing?string=mocowanie+silnika+nema23+hm10-57" TargetMode="External"/><Relationship Id="rId42" Type="http://schemas.openxmlformats.org/officeDocument/2006/relationships/hyperlink" Target="https://allegro.pl/listing?string=p%C5%82yta+aluminiowa+10mm" TargetMode="External"/><Relationship Id="rId47" Type="http://schemas.openxmlformats.org/officeDocument/2006/relationships/hyperlink" Target="https://allegro.pl/listing?string=pr%C4%99t+gwintowany+m5" TargetMode="External"/><Relationship Id="rId50" Type="http://schemas.openxmlformats.org/officeDocument/2006/relationships/hyperlink" Target="https://allegro.pl/listing?string=%C5%9Bruba+m6x50+din7985" TargetMode="External"/><Relationship Id="rId55" Type="http://schemas.openxmlformats.org/officeDocument/2006/relationships/hyperlink" Target="https://allegro.pl/listing?string=prowadnica+liniowa+hgr20" TargetMode="External"/><Relationship Id="rId7" Type="http://schemas.openxmlformats.org/officeDocument/2006/relationships/hyperlink" Target="https://allegro.pl/listing?string=%C5%9Bruba+m6x12+din7985" TargetMode="External"/><Relationship Id="rId2" Type="http://schemas.openxmlformats.org/officeDocument/2006/relationships/hyperlink" Target="https://allegro.pl/listing?string=uchwyt+wrzeciona+80mm" TargetMode="External"/><Relationship Id="rId16" Type="http://schemas.openxmlformats.org/officeDocument/2006/relationships/hyperlink" Target="https://allegro.pl/listing?string=sprz%C4%99g%C5%82o+d30l40+8x10" TargetMode="External"/><Relationship Id="rId29" Type="http://schemas.openxmlformats.org/officeDocument/2006/relationships/hyperlink" Target="https://allegro.pl/listing?string=podpora+bf12+%C5%9Bruby+kulowej" TargetMode="External"/><Relationship Id="rId11" Type="http://schemas.openxmlformats.org/officeDocument/2006/relationships/hyperlink" Target="https://allegro.pl/listing?string=p%C5%82yta+aluminiowa+10mm" TargetMode="External"/><Relationship Id="rId24" Type="http://schemas.openxmlformats.org/officeDocument/2006/relationships/hyperlink" Target="https://allegro.pl/listing?string=silnik+krokowy+nema23" TargetMode="External"/><Relationship Id="rId32" Type="http://schemas.openxmlformats.org/officeDocument/2006/relationships/hyperlink" Target="https://allegro.pl/listing?string=czujnik+indukcyjny+m8+pnp+no" TargetMode="External"/><Relationship Id="rId37" Type="http://schemas.openxmlformats.org/officeDocument/2006/relationships/hyperlink" Target="https://allegro.pl/listing?string=p%C5%82yta+aluminiowa+10mm" TargetMode="External"/><Relationship Id="rId40" Type="http://schemas.openxmlformats.org/officeDocument/2006/relationships/hyperlink" Target="https://allegro.pl/listing?string=p%C5%82yta+aluminiowa+10mm" TargetMode="External"/><Relationship Id="rId45" Type="http://schemas.openxmlformats.org/officeDocument/2006/relationships/hyperlink" Target="https://allegro.pl/listing?string=podk%C5%82adka+m6+din125" TargetMode="External"/><Relationship Id="rId53" Type="http://schemas.openxmlformats.org/officeDocument/2006/relationships/hyperlink" Target="https://allegro.pl/listing?string=prowadnica+liniowa+hgr20" TargetMode="External"/><Relationship Id="rId58" Type="http://schemas.openxmlformats.org/officeDocument/2006/relationships/hyperlink" Target="https://allegro.pl/listing?string=hgw20cc" TargetMode="External"/><Relationship Id="rId5" Type="http://schemas.openxmlformats.org/officeDocument/2006/relationships/hyperlink" Target="https://allegro.pl/listing?string=%C5%9Bruba+m5x12+din7985" TargetMode="External"/><Relationship Id="rId61" Type="http://schemas.openxmlformats.org/officeDocument/2006/relationships/hyperlink" Target="https://allegro.pl/listing?string=%C5%9Bruba+kulowa+sfu1610+bk12+bf12" TargetMode="External"/><Relationship Id="rId19" Type="http://schemas.openxmlformats.org/officeDocument/2006/relationships/hyperlink" Target="https://allegro.pl/listing?string=czujnik+indukcyjny+m8+pnp+no" TargetMode="External"/><Relationship Id="rId14" Type="http://schemas.openxmlformats.org/officeDocument/2006/relationships/hyperlink" Target="https://allegro.pl/listing?string=podpora+bf12+%C5%9Bruby+kulowej" TargetMode="External"/><Relationship Id="rId22" Type="http://schemas.openxmlformats.org/officeDocument/2006/relationships/hyperlink" Target="https://allegro.pl/listing?string=podpora+bf12+%C5%9Bruby+kulowej" TargetMode="External"/><Relationship Id="rId27" Type="http://schemas.openxmlformats.org/officeDocument/2006/relationships/hyperlink" Target="https://allegro.pl/listing?string=silnik+krokowy+nema23" TargetMode="External"/><Relationship Id="rId30" Type="http://schemas.openxmlformats.org/officeDocument/2006/relationships/hyperlink" Target="https://allegro.pl/listing?string=nakr%C4%99tka+sfu1610+kulowa" TargetMode="External"/><Relationship Id="rId35" Type="http://schemas.openxmlformats.org/officeDocument/2006/relationships/hyperlink" Target="https://allegro.pl/listing?string=silnik+krokowy+nema23" TargetMode="External"/><Relationship Id="rId43" Type="http://schemas.openxmlformats.org/officeDocument/2006/relationships/hyperlink" Target="https://allegro.pl/listing?string=wrzeciono+2.2kw+80mm" TargetMode="External"/><Relationship Id="rId48" Type="http://schemas.openxmlformats.org/officeDocument/2006/relationships/hyperlink" Target="https://allegro.pl/listing?string=pr%C4%99t+gwintowany+m5" TargetMode="External"/><Relationship Id="rId56" Type="http://schemas.openxmlformats.org/officeDocument/2006/relationships/hyperlink" Target="https://allegro.pl/listing?string=prowadnica+liniowa+hgr15" TargetMode="External"/><Relationship Id="rId8" Type="http://schemas.openxmlformats.org/officeDocument/2006/relationships/hyperlink" Target="https://allegro.pl/listing?string=%C5%9Bruba+m6x20+din7985" TargetMode="External"/><Relationship Id="rId51" Type="http://schemas.openxmlformats.org/officeDocument/2006/relationships/hyperlink" Target="https://allegro.pl/listing?string=wkr%C4%99t+dociskowy+m8x8+imbus" TargetMode="External"/><Relationship Id="rId3" Type="http://schemas.openxmlformats.org/officeDocument/2006/relationships/hyperlink" Target="https://allegro.pl/listing?string=%C5%9Bruba+m4x12+din7985" TargetMode="External"/><Relationship Id="rId12" Type="http://schemas.openxmlformats.org/officeDocument/2006/relationships/hyperlink" Target="https://allegro.pl/listing?string=p%C5%82yta+aluminiowa+6mm" TargetMode="External"/><Relationship Id="rId17" Type="http://schemas.openxmlformats.org/officeDocument/2006/relationships/hyperlink" Target="https://allegro.pl/listing?string=nakr%C4%99tka+sfu1610+kulowa" TargetMode="External"/><Relationship Id="rId25" Type="http://schemas.openxmlformats.org/officeDocument/2006/relationships/hyperlink" Target="https://allegro.pl/listing?string=czujnik+indukcyjny+m8+pnp+no" TargetMode="External"/><Relationship Id="rId33" Type="http://schemas.openxmlformats.org/officeDocument/2006/relationships/hyperlink" Target="https://allegro.pl/listing?string=sprz%C4%99g%C5%82o+d25l30+8x8" TargetMode="External"/><Relationship Id="rId38" Type="http://schemas.openxmlformats.org/officeDocument/2006/relationships/hyperlink" Target="https://allegro.pl/listing?string=p%C5%82yta+aluminiowa+10mm" TargetMode="External"/><Relationship Id="rId46" Type="http://schemas.openxmlformats.org/officeDocument/2006/relationships/hyperlink" Target="https://allegro.pl/listing?string=filament+pla+1kg" TargetMode="External"/><Relationship Id="rId59" Type="http://schemas.openxmlformats.org/officeDocument/2006/relationships/hyperlink" Target="https://allegro.pl/listing?string=%C5%9Bruba+kulowa+sfu1610+bk12+bf12" TargetMode="External"/><Relationship Id="rId20" Type="http://schemas.openxmlformats.org/officeDocument/2006/relationships/hyperlink" Target="https://allegro.pl/listing?string=mocowanie+silnika+nema23+hm12-57" TargetMode="External"/><Relationship Id="rId41" Type="http://schemas.openxmlformats.org/officeDocument/2006/relationships/hyperlink" Target="https://allegro.pl/listing?string=nakr%C4%99tka+sfu1204+kulowa" TargetMode="External"/><Relationship Id="rId54" Type="http://schemas.openxmlformats.org/officeDocument/2006/relationships/hyperlink" Target="https://allegro.pl/listing?string=%C5%9Bruba+m8x45+din933" TargetMode="External"/><Relationship Id="rId62" Type="http://schemas.openxmlformats.org/officeDocument/2006/relationships/hyperlink" Target="https://allegro.pl/listing?string=%C5%9Bruba+kulowa+sfu1204" TargetMode="External"/><Relationship Id="rId1" Type="http://schemas.openxmlformats.org/officeDocument/2006/relationships/hyperlink" Target="https://allegro.pl/kategoria/materialy-i-akcesoria-sruby-nakretki-podkladki-121600?string=%C5%9Bruba+m4x8" TargetMode="External"/><Relationship Id="rId6" Type="http://schemas.openxmlformats.org/officeDocument/2006/relationships/hyperlink" Target="https://allegro.pl/listing?string=%C5%9Bruba+m5x20+din7985" TargetMode="External"/><Relationship Id="rId15" Type="http://schemas.openxmlformats.org/officeDocument/2006/relationships/hyperlink" Target="https://allegro.pl/listing?string=smarowniczka+m6+p%C5%82aska" TargetMode="External"/><Relationship Id="rId23" Type="http://schemas.openxmlformats.org/officeDocument/2006/relationships/hyperlink" Target="https://allegro.pl/listing?string=sprz%C4%99g%C5%82o+d30l40+8x10" TargetMode="External"/><Relationship Id="rId28" Type="http://schemas.openxmlformats.org/officeDocument/2006/relationships/hyperlink" Target="https://allegro.pl/listing?string=mocowanie+silnika+nema23+hm12-57" TargetMode="External"/><Relationship Id="rId36" Type="http://schemas.openxmlformats.org/officeDocument/2006/relationships/hyperlink" Target="https://allegro.pl/listing?string=czujnik+indukcyjny+m8+pnp+no" TargetMode="External"/><Relationship Id="rId49" Type="http://schemas.openxmlformats.org/officeDocument/2006/relationships/hyperlink" Target="https://allegro.pl/listing?string=nakr%C4%99tka+m5+din934" TargetMode="External"/><Relationship Id="rId57" Type="http://schemas.openxmlformats.org/officeDocument/2006/relationships/hyperlink" Target="https://allegro.pl/listing?string=hgh15ca" TargetMode="External"/><Relationship Id="rId10" Type="http://schemas.openxmlformats.org/officeDocument/2006/relationships/hyperlink" Target="https://allegro.pl/listing?string=p%C5%82yta+mdf+18mm" TargetMode="External"/><Relationship Id="rId31" Type="http://schemas.openxmlformats.org/officeDocument/2006/relationships/hyperlink" Target="https://allegro.pl/listing?string=sprz%C4%99g%C5%82o+d30l40+8x10" TargetMode="External"/><Relationship Id="rId44" Type="http://schemas.openxmlformats.org/officeDocument/2006/relationships/hyperlink" Target="https://allegro.pl/listing?string=p%C5%82yta+aluminiowa+10mm" TargetMode="External"/><Relationship Id="rId52" Type="http://schemas.openxmlformats.org/officeDocument/2006/relationships/hyperlink" Target="https://allegro.pl/listing?string=prowadnica+liniowa+hgr20" TargetMode="External"/><Relationship Id="rId60" Type="http://schemas.openxmlformats.org/officeDocument/2006/relationships/hyperlink" Target="https://allegro.pl/listing?string=%C5%9Bruba+kulowa+sfu1610+bk12+bf12" TargetMode="External"/><Relationship Id="rId4" Type="http://schemas.openxmlformats.org/officeDocument/2006/relationships/hyperlink" Target="https://allegro.pl/listing?string=%C5%9Bruba+m4x16+din7985" TargetMode="External"/><Relationship Id="rId9" Type="http://schemas.openxmlformats.org/officeDocument/2006/relationships/hyperlink" Target="https://allegro.pl/listing?string=%C5%9Bruba+m6x30+din7985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llegro.pl/listing?string=przycisk+bezpiecze%C5%84stwa+grzybkowy+22mm" TargetMode="External"/><Relationship Id="rId18" Type="http://schemas.openxmlformats.org/officeDocument/2006/relationships/hyperlink" Target="https://allegro.pl/listing?string=modu%C5%82+styk+22mm+NO" TargetMode="External"/><Relationship Id="rId26" Type="http://schemas.openxmlformats.org/officeDocument/2006/relationships/hyperlink" Target="https://allegro.pl/listing?string=zasilacz+mean+well+lrs-150-24" TargetMode="External"/><Relationship Id="rId39" Type="http://schemas.openxmlformats.org/officeDocument/2006/relationships/hyperlink" Target="https://allegro.pl/listing?string=d%C5%82awik+kablowy+m20" TargetMode="External"/><Relationship Id="rId21" Type="http://schemas.openxmlformats.org/officeDocument/2006/relationships/hyperlink" Target="https://allegro.pl/listing?string=modu%C5%82+LED+22mm+24V" TargetMode="External"/><Relationship Id="rId34" Type="http://schemas.openxmlformats.org/officeDocument/2006/relationships/hyperlink" Target="https://allegro.pl/listing?string=koryto+kablowe+25x25" TargetMode="External"/><Relationship Id="rId42" Type="http://schemas.openxmlformats.org/officeDocument/2006/relationships/hyperlink" Target="https://allegro.pl/listing?string=prze%C5%82%C4%85cznik+ko%C5%82yskowy+2P+16A+250V" TargetMode="External"/><Relationship Id="rId47" Type="http://schemas.openxmlformats.org/officeDocument/2006/relationships/hyperlink" Target="https://allegro.pl/listing?string=uchwyt+din+przeka%C5%BAnik" TargetMode="External"/><Relationship Id="rId50" Type="http://schemas.openxmlformats.org/officeDocument/2006/relationships/hyperlink" Target="https://allegro.pl/listing?string=filament+pla+1kg" TargetMode="External"/><Relationship Id="rId55" Type="http://schemas.openxmlformats.org/officeDocument/2006/relationships/hyperlink" Target="https://allegro.pl/listing?string=sterownik+dm542t" TargetMode="External"/><Relationship Id="rId7" Type="http://schemas.openxmlformats.org/officeDocument/2006/relationships/hyperlink" Target="https://allegro.pl/listing?string=szpilka+gwintowana+m10" TargetMode="External"/><Relationship Id="rId2" Type="http://schemas.openxmlformats.org/officeDocument/2006/relationships/hyperlink" Target="https://allegro.pl/listing?string=obudowa+elektryczna+metalowa+IP65" TargetMode="External"/><Relationship Id="rId16" Type="http://schemas.openxmlformats.org/officeDocument/2006/relationships/hyperlink" Target="https://allegro.pl/listing?string=modu%C5%82+styk+22mm+NC" TargetMode="External"/><Relationship Id="rId29" Type="http://schemas.openxmlformats.org/officeDocument/2006/relationships/hyperlink" Target="https://allegro.pl/listing?string=wy%C5%82%C4%85cznik+nadpr%C4%85dowy+din+c16" TargetMode="External"/><Relationship Id="rId11" Type="http://schemas.openxmlformats.org/officeDocument/2006/relationships/hyperlink" Target="https://allegro.pl/listing?string=nakr%C4%99tka+ko%C5%82nierzowa+m10" TargetMode="External"/><Relationship Id="rId24" Type="http://schemas.openxmlformats.org/officeDocument/2006/relationships/hyperlink" Target="https://allegro.pl/listing?string=przycisk+stop+czerwony+22mm" TargetMode="External"/><Relationship Id="rId32" Type="http://schemas.openxmlformats.org/officeDocument/2006/relationships/hyperlink" Target="https://allegro.pl/listing?string=koryto+kablowe+25x25" TargetMode="External"/><Relationship Id="rId37" Type="http://schemas.openxmlformats.org/officeDocument/2006/relationships/hyperlink" Target="https://allegro.pl/listing?string=koryto+kablowe+25x25" TargetMode="External"/><Relationship Id="rId40" Type="http://schemas.openxmlformats.org/officeDocument/2006/relationships/hyperlink" Target="https://allegro.pl/listing?string=d%C5%82awik+kablowy+m20" TargetMode="External"/><Relationship Id="rId45" Type="http://schemas.openxmlformats.org/officeDocument/2006/relationships/hyperlink" Target="https://allegro.pl/listing?string=blacha+stalowa+2mm" TargetMode="External"/><Relationship Id="rId53" Type="http://schemas.openxmlformats.org/officeDocument/2006/relationships/hyperlink" Target="https://allegro.pl/listing?string=wentylator+120mm+24v+dc" TargetMode="External"/><Relationship Id="rId5" Type="http://schemas.openxmlformats.org/officeDocument/2006/relationships/hyperlink" Target="https://allegro.pl/listing?string=szpilka+gwintowana+m10" TargetMode="External"/><Relationship Id="rId10" Type="http://schemas.openxmlformats.org/officeDocument/2006/relationships/hyperlink" Target="https://allegro.pl/listing?string=szpilka+gwintowana+m10" TargetMode="External"/><Relationship Id="rId19" Type="http://schemas.openxmlformats.org/officeDocument/2006/relationships/hyperlink" Target="https://allegro.pl/listing?string=przycisk+start+zielony+22mm" TargetMode="External"/><Relationship Id="rId31" Type="http://schemas.openxmlformats.org/officeDocument/2006/relationships/hyperlink" Target="https://allegro.pl/listing?string=szyna+din+35mm" TargetMode="External"/><Relationship Id="rId44" Type="http://schemas.openxmlformats.org/officeDocument/2006/relationships/hyperlink" Target="https://allegro.pl/listing?string=blacha+stalowa+2mm" TargetMode="External"/><Relationship Id="rId52" Type="http://schemas.openxmlformats.org/officeDocument/2006/relationships/hyperlink" Target="https://allegro.pl/listing?string=blacha+stalowa+2mm" TargetMode="External"/><Relationship Id="rId4" Type="http://schemas.openxmlformats.org/officeDocument/2006/relationships/hyperlink" Target="https://allegro.pl/listing?string=nakr%C4%99tka+ko%C5%82nierzowa+m10" TargetMode="External"/><Relationship Id="rId9" Type="http://schemas.openxmlformats.org/officeDocument/2006/relationships/hyperlink" Target="https://allegro.pl/listing?string=szpilka+gwintowana+m10" TargetMode="External"/><Relationship Id="rId14" Type="http://schemas.openxmlformats.org/officeDocument/2006/relationships/hyperlink" Target="https://allegro.pl/listing?string=modu%C5%82+styk+22mm+NC" TargetMode="External"/><Relationship Id="rId22" Type="http://schemas.openxmlformats.org/officeDocument/2006/relationships/hyperlink" Target="https://allegro.pl/listing?string=modu%C5%82+styk+22mm+NO" TargetMode="External"/><Relationship Id="rId27" Type="http://schemas.openxmlformats.org/officeDocument/2006/relationships/hyperlink" Target="https://allegro.pl/listing?string=filtr+emi+20a+din" TargetMode="External"/><Relationship Id="rId30" Type="http://schemas.openxmlformats.org/officeDocument/2006/relationships/hyperlink" Target="https://allegro.pl/listing?string=stycznik+lc1d32" TargetMode="External"/><Relationship Id="rId35" Type="http://schemas.openxmlformats.org/officeDocument/2006/relationships/hyperlink" Target="https://allegro.pl/listing?string=koryto+kablowe+25x25" TargetMode="External"/><Relationship Id="rId43" Type="http://schemas.openxmlformats.org/officeDocument/2006/relationships/hyperlink" Target="https://allegro.pl/listing?string=gniazdo+iec+c20+panelowe" TargetMode="External"/><Relationship Id="rId48" Type="http://schemas.openxmlformats.org/officeDocument/2006/relationships/hyperlink" Target="https://allegro.pl/listing?string=uchwyt+din+przeka%C5%BAnik" TargetMode="External"/><Relationship Id="rId56" Type="http://schemas.openxmlformats.org/officeDocument/2006/relationships/table" Target="../tables/table1.xml"/><Relationship Id="rId8" Type="http://schemas.openxmlformats.org/officeDocument/2006/relationships/hyperlink" Target="https://allegro.pl/listing?string=nakr%C4%99tka+ko%C5%82nierzowa+m10" TargetMode="External"/><Relationship Id="rId51" Type="http://schemas.openxmlformats.org/officeDocument/2006/relationships/hyperlink" Target="https://allegro.pl/listing?string=filament+pla+1kg" TargetMode="External"/><Relationship Id="rId3" Type="http://schemas.openxmlformats.org/officeDocument/2006/relationships/hyperlink" Target="https://allegro.pl/listing?string=szpilka+gwintowana+m10" TargetMode="External"/><Relationship Id="rId12" Type="http://schemas.openxmlformats.org/officeDocument/2006/relationships/hyperlink" Target="https://allegro.pl/listing?string=p%C5%82yta+monta%C5%BCowa+rozdzielnicy" TargetMode="External"/><Relationship Id="rId17" Type="http://schemas.openxmlformats.org/officeDocument/2006/relationships/hyperlink" Target="https://allegro.pl/listing?string=modu%C5%82+LED+22mm+24V" TargetMode="External"/><Relationship Id="rId25" Type="http://schemas.openxmlformats.org/officeDocument/2006/relationships/hyperlink" Target="https://allegro.pl/listing?string=wentylator+120mm+24v+dc" TargetMode="External"/><Relationship Id="rId33" Type="http://schemas.openxmlformats.org/officeDocument/2006/relationships/hyperlink" Target="https://allegro.pl/listing?string=koryto+kablowe+25x25" TargetMode="External"/><Relationship Id="rId38" Type="http://schemas.openxmlformats.org/officeDocument/2006/relationships/hyperlink" Target="https://allegro.pl/listing?string=blacha+stalowa+2mm" TargetMode="External"/><Relationship Id="rId46" Type="http://schemas.openxmlformats.org/officeDocument/2006/relationships/hyperlink" Target="https://allegro.pl/listing?string=blacha+stalowa+2mm" TargetMode="External"/><Relationship Id="rId20" Type="http://schemas.openxmlformats.org/officeDocument/2006/relationships/hyperlink" Target="https://allegro.pl/listing?string=modu%C5%82+styk+22mm+NO" TargetMode="External"/><Relationship Id="rId41" Type="http://schemas.openxmlformats.org/officeDocument/2006/relationships/hyperlink" Target="https://allegro.pl/listing?string=d%C5%82awik+kablowy+m20" TargetMode="External"/><Relationship Id="rId54" Type="http://schemas.openxmlformats.org/officeDocument/2006/relationships/hyperlink" Target="https://allegro.pl/listing?string=zasilacz+mean+well+lrs-350-48" TargetMode="External"/><Relationship Id="rId1" Type="http://schemas.openxmlformats.org/officeDocument/2006/relationships/hyperlink" Target="https://allegro.pl/listing?string=falownik+hy+2.2kw" TargetMode="External"/><Relationship Id="rId6" Type="http://schemas.openxmlformats.org/officeDocument/2006/relationships/hyperlink" Target="https://allegro.pl/listing?string=nakr%C4%99tka+ko%C5%82nierzowa+m10" TargetMode="External"/><Relationship Id="rId15" Type="http://schemas.openxmlformats.org/officeDocument/2006/relationships/hyperlink" Target="https://allegro.pl/listing?string=modu%C5%82+styk+22mm+NC" TargetMode="External"/><Relationship Id="rId23" Type="http://schemas.openxmlformats.org/officeDocument/2006/relationships/hyperlink" Target="https://allegro.pl/listing?string=filtr+wentylatora+120mm" TargetMode="External"/><Relationship Id="rId28" Type="http://schemas.openxmlformats.org/officeDocument/2006/relationships/hyperlink" Target="https://allegro.pl/listing?string=filtr+emi+20a+din" TargetMode="External"/><Relationship Id="rId36" Type="http://schemas.openxmlformats.org/officeDocument/2006/relationships/hyperlink" Target="https://allegro.pl/listing?string=koryto+kablowe+25x25" TargetMode="External"/><Relationship Id="rId49" Type="http://schemas.openxmlformats.org/officeDocument/2006/relationships/hyperlink" Target="https://allegro.pl/listing?string=filament+pla+1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006D-4FEB-444D-80CE-74B0D2A147EC}">
  <dimension ref="A1:L144"/>
  <sheetViews>
    <sheetView topLeftCell="A50" zoomScaleNormal="100" workbookViewId="0">
      <selection activeCell="C56" sqref="C56"/>
    </sheetView>
  </sheetViews>
  <sheetFormatPr defaultRowHeight="14.4" x14ac:dyDescent="0.3"/>
  <cols>
    <col min="1" max="1" width="12.21875" customWidth="1"/>
    <col min="3" max="3" width="27.77734375" customWidth="1"/>
    <col min="4" max="4" width="8.88671875" style="6"/>
    <col min="5" max="5" width="16.6640625" style="6" customWidth="1"/>
    <col min="6" max="6" width="12" customWidth="1"/>
    <col min="7" max="7" width="17.77734375" bestFit="1" customWidth="1"/>
    <col min="8" max="8" width="75.21875" hidden="1" customWidth="1"/>
    <col min="9" max="9" width="26.88671875" bestFit="1" customWidth="1"/>
    <col min="10" max="10" width="24.88671875" customWidth="1"/>
    <col min="11" max="11" width="21" bestFit="1" customWidth="1"/>
    <col min="12" max="12" width="30.109375" bestFit="1" customWidth="1"/>
  </cols>
  <sheetData>
    <row r="1" spans="1:12" x14ac:dyDescent="0.3">
      <c r="B1" t="s">
        <v>0</v>
      </c>
      <c r="C1" t="s">
        <v>1</v>
      </c>
    </row>
    <row r="2" spans="1:12" x14ac:dyDescent="0.3">
      <c r="B2" t="s">
        <v>302</v>
      </c>
      <c r="C2" t="s">
        <v>2</v>
      </c>
    </row>
    <row r="4" spans="1:12" s="6" customFormat="1" x14ac:dyDescent="0.3">
      <c r="A4" s="9" t="s">
        <v>303</v>
      </c>
      <c r="B4" s="9" t="s">
        <v>218</v>
      </c>
      <c r="C4" s="9" t="s">
        <v>304</v>
      </c>
      <c r="D4" s="9" t="s">
        <v>305</v>
      </c>
      <c r="E4" s="9" t="s">
        <v>306</v>
      </c>
      <c r="F4" s="9" t="s">
        <v>307</v>
      </c>
      <c r="G4" s="9" t="s">
        <v>419</v>
      </c>
      <c r="I4" s="9" t="s">
        <v>86</v>
      </c>
      <c r="J4" s="9" t="s">
        <v>87</v>
      </c>
      <c r="K4" s="9" t="s">
        <v>88</v>
      </c>
      <c r="L4" s="9" t="s">
        <v>89</v>
      </c>
    </row>
    <row r="5" spans="1:12" x14ac:dyDescent="0.3">
      <c r="A5" s="8" t="s">
        <v>240</v>
      </c>
      <c r="B5">
        <v>1</v>
      </c>
      <c r="C5" t="s">
        <v>308</v>
      </c>
      <c r="D5" s="6">
        <v>4</v>
      </c>
      <c r="E5" s="6">
        <v>0.15</v>
      </c>
      <c r="F5" s="6">
        <f>E5*D5</f>
        <v>0.6</v>
      </c>
    </row>
    <row r="6" spans="1:12" x14ac:dyDescent="0.3">
      <c r="A6" s="8" t="s">
        <v>241</v>
      </c>
      <c r="B6">
        <v>2</v>
      </c>
      <c r="C6" t="s">
        <v>309</v>
      </c>
      <c r="D6" s="6">
        <v>22</v>
      </c>
      <c r="E6" s="6">
        <v>0.18</v>
      </c>
      <c r="F6" s="6">
        <f t="shared" ref="F6:F71" si="0">E6*D6</f>
        <v>3.96</v>
      </c>
    </row>
    <row r="7" spans="1:12" x14ac:dyDescent="0.3">
      <c r="A7" s="8" t="s">
        <v>242</v>
      </c>
      <c r="B7">
        <v>3</v>
      </c>
      <c r="C7" t="s">
        <v>310</v>
      </c>
      <c r="D7" s="6">
        <v>28</v>
      </c>
      <c r="E7" s="6">
        <v>0.2</v>
      </c>
      <c r="F7" s="6">
        <f t="shared" si="0"/>
        <v>5.6000000000000005</v>
      </c>
    </row>
    <row r="8" spans="1:12" x14ac:dyDescent="0.3">
      <c r="A8" s="8" t="s">
        <v>243</v>
      </c>
      <c r="B8">
        <v>4</v>
      </c>
      <c r="C8" t="s">
        <v>311</v>
      </c>
      <c r="D8" s="6">
        <v>4</v>
      </c>
      <c r="E8" s="6">
        <v>0.25</v>
      </c>
      <c r="F8" s="6">
        <f t="shared" si="0"/>
        <v>1</v>
      </c>
    </row>
    <row r="9" spans="1:12" x14ac:dyDescent="0.3">
      <c r="A9" s="8" t="s">
        <v>244</v>
      </c>
      <c r="B9">
        <v>5</v>
      </c>
      <c r="C9" t="s">
        <v>312</v>
      </c>
      <c r="D9" s="6">
        <v>112</v>
      </c>
      <c r="E9" s="6">
        <v>0.3</v>
      </c>
      <c r="F9" s="6">
        <f t="shared" si="0"/>
        <v>33.6</v>
      </c>
    </row>
    <row r="10" spans="1:12" x14ac:dyDescent="0.3">
      <c r="A10" s="8" t="s">
        <v>245</v>
      </c>
      <c r="B10">
        <v>6</v>
      </c>
      <c r="C10" t="s">
        <v>313</v>
      </c>
      <c r="D10" s="6">
        <v>142</v>
      </c>
      <c r="E10" s="6">
        <v>0.35</v>
      </c>
      <c r="F10" s="6">
        <f t="shared" si="0"/>
        <v>49.699999999999996</v>
      </c>
    </row>
    <row r="11" spans="1:12" x14ac:dyDescent="0.3">
      <c r="A11" s="8" t="s">
        <v>246</v>
      </c>
      <c r="B11">
        <v>7</v>
      </c>
      <c r="C11" t="s">
        <v>314</v>
      </c>
      <c r="D11" s="6">
        <v>66</v>
      </c>
      <c r="E11" s="6">
        <v>0.4</v>
      </c>
      <c r="F11" s="6">
        <f t="shared" si="0"/>
        <v>26.400000000000002</v>
      </c>
    </row>
    <row r="12" spans="1:12" x14ac:dyDescent="0.3">
      <c r="A12" s="8" t="s">
        <v>247</v>
      </c>
      <c r="B12">
        <v>8</v>
      </c>
      <c r="C12" t="s">
        <v>315</v>
      </c>
      <c r="D12" s="6">
        <v>32</v>
      </c>
      <c r="E12" s="6">
        <v>0.55000000000000004</v>
      </c>
      <c r="F12" s="6">
        <f t="shared" si="0"/>
        <v>17.600000000000001</v>
      </c>
    </row>
    <row r="13" spans="1:12" x14ac:dyDescent="0.3">
      <c r="A13" s="8" t="s">
        <v>248</v>
      </c>
      <c r="B13">
        <v>9</v>
      </c>
      <c r="C13" t="s">
        <v>316</v>
      </c>
      <c r="D13" s="6">
        <v>24</v>
      </c>
      <c r="E13" s="6">
        <v>0.9</v>
      </c>
      <c r="F13" s="6">
        <f t="shared" si="0"/>
        <v>21.6</v>
      </c>
    </row>
    <row r="14" spans="1:12" x14ac:dyDescent="0.3">
      <c r="A14" s="8" t="s">
        <v>249</v>
      </c>
      <c r="B14">
        <v>10</v>
      </c>
      <c r="C14" t="s">
        <v>317</v>
      </c>
      <c r="D14" s="6">
        <v>4</v>
      </c>
      <c r="E14" s="6">
        <v>0.5</v>
      </c>
      <c r="F14" s="6">
        <f t="shared" si="0"/>
        <v>2</v>
      </c>
    </row>
    <row r="15" spans="1:12" x14ac:dyDescent="0.3">
      <c r="A15" s="8" t="s">
        <v>250</v>
      </c>
      <c r="B15">
        <v>11</v>
      </c>
      <c r="C15" t="s">
        <v>318</v>
      </c>
      <c r="D15" s="6">
        <v>3</v>
      </c>
      <c r="E15" s="6">
        <v>1.2</v>
      </c>
      <c r="F15" s="6">
        <f t="shared" si="0"/>
        <v>3.5999999999999996</v>
      </c>
    </row>
    <row r="16" spans="1:12" x14ac:dyDescent="0.3">
      <c r="A16" s="8" t="s">
        <v>251</v>
      </c>
      <c r="B16">
        <v>12</v>
      </c>
      <c r="C16" t="s">
        <v>319</v>
      </c>
      <c r="D16" s="6">
        <v>6</v>
      </c>
      <c r="E16" s="6">
        <v>8</v>
      </c>
      <c r="F16" s="6">
        <f t="shared" si="0"/>
        <v>48</v>
      </c>
    </row>
    <row r="17" spans="1:9" x14ac:dyDescent="0.3">
      <c r="A17" s="8" t="s">
        <v>251</v>
      </c>
      <c r="B17">
        <v>13</v>
      </c>
      <c r="C17" t="s">
        <v>320</v>
      </c>
      <c r="D17" s="6">
        <v>12</v>
      </c>
      <c r="E17" s="6">
        <v>8</v>
      </c>
      <c r="F17" s="6">
        <f t="shared" si="0"/>
        <v>96</v>
      </c>
    </row>
    <row r="18" spans="1:9" x14ac:dyDescent="0.3">
      <c r="A18" s="8" t="s">
        <v>252</v>
      </c>
      <c r="B18">
        <v>14</v>
      </c>
      <c r="C18" t="s">
        <v>321</v>
      </c>
      <c r="D18" s="6">
        <v>54</v>
      </c>
      <c r="E18" s="6">
        <v>0.12</v>
      </c>
      <c r="F18" s="6">
        <f t="shared" si="0"/>
        <v>6.4799999999999995</v>
      </c>
    </row>
    <row r="19" spans="1:9" x14ac:dyDescent="0.3">
      <c r="A19" s="8" t="s">
        <v>253</v>
      </c>
      <c r="B19">
        <v>15</v>
      </c>
      <c r="C19" t="s">
        <v>322</v>
      </c>
      <c r="D19" s="6">
        <v>2</v>
      </c>
      <c r="E19" s="6">
        <v>140</v>
      </c>
      <c r="F19" s="6">
        <f t="shared" si="0"/>
        <v>280</v>
      </c>
    </row>
    <row r="20" spans="1:9" x14ac:dyDescent="0.3">
      <c r="A20" s="8" t="s">
        <v>253</v>
      </c>
      <c r="B20">
        <v>16</v>
      </c>
      <c r="C20" t="s">
        <v>323</v>
      </c>
      <c r="D20" s="6">
        <v>1</v>
      </c>
      <c r="E20" s="6">
        <v>170</v>
      </c>
      <c r="F20" s="6">
        <f t="shared" si="0"/>
        <v>170</v>
      </c>
    </row>
    <row r="21" spans="1:9" x14ac:dyDescent="0.3">
      <c r="A21" s="8" t="s">
        <v>253</v>
      </c>
      <c r="B21">
        <v>17</v>
      </c>
      <c r="C21" t="s">
        <v>324</v>
      </c>
      <c r="D21" s="6">
        <v>1</v>
      </c>
      <c r="E21" s="6">
        <v>170</v>
      </c>
      <c r="F21" s="6">
        <f t="shared" si="0"/>
        <v>170</v>
      </c>
    </row>
    <row r="22" spans="1:9" x14ac:dyDescent="0.3">
      <c r="A22" s="8" t="s">
        <v>254</v>
      </c>
      <c r="B22">
        <v>18</v>
      </c>
      <c r="C22" t="s">
        <v>325</v>
      </c>
      <c r="D22" s="6">
        <v>2</v>
      </c>
      <c r="E22" s="6">
        <v>90</v>
      </c>
      <c r="F22" s="6">
        <f t="shared" si="0"/>
        <v>180</v>
      </c>
    </row>
    <row r="23" spans="1:9" x14ac:dyDescent="0.3">
      <c r="A23" s="8" t="s">
        <v>255</v>
      </c>
      <c r="B23">
        <v>19</v>
      </c>
      <c r="C23" t="s">
        <v>326</v>
      </c>
      <c r="D23" s="6">
        <v>4</v>
      </c>
      <c r="E23" s="6">
        <v>70</v>
      </c>
      <c r="F23" s="6">
        <f t="shared" si="0"/>
        <v>280</v>
      </c>
    </row>
    <row r="24" spans="1:9" x14ac:dyDescent="0.3">
      <c r="A24" s="8" t="s">
        <v>256</v>
      </c>
      <c r="B24">
        <v>20</v>
      </c>
      <c r="C24" t="s">
        <v>327</v>
      </c>
      <c r="D24" s="6">
        <v>8</v>
      </c>
      <c r="E24" s="6">
        <v>100</v>
      </c>
      <c r="F24" s="6">
        <f t="shared" si="0"/>
        <v>800</v>
      </c>
    </row>
    <row r="25" spans="1:9" x14ac:dyDescent="0.3">
      <c r="A25" s="8" t="s">
        <v>257</v>
      </c>
      <c r="B25">
        <v>21</v>
      </c>
      <c r="C25" t="s">
        <v>328</v>
      </c>
      <c r="D25" s="6">
        <v>1</v>
      </c>
      <c r="E25" s="6">
        <v>250</v>
      </c>
      <c r="F25" s="6">
        <f t="shared" si="0"/>
        <v>250</v>
      </c>
    </row>
    <row r="26" spans="1:9" x14ac:dyDescent="0.3">
      <c r="A26" s="8" t="s">
        <v>257</v>
      </c>
      <c r="B26">
        <v>22</v>
      </c>
      <c r="C26" t="s">
        <v>329</v>
      </c>
      <c r="D26" s="6">
        <v>1</v>
      </c>
      <c r="E26" s="6">
        <v>250</v>
      </c>
      <c r="F26" s="6">
        <f t="shared" si="0"/>
        <v>250</v>
      </c>
    </row>
    <row r="27" spans="1:9" x14ac:dyDescent="0.3">
      <c r="A27" s="8" t="s">
        <v>257</v>
      </c>
      <c r="B27">
        <v>23</v>
      </c>
      <c r="C27" t="s">
        <v>330</v>
      </c>
      <c r="D27" s="6">
        <v>1</v>
      </c>
      <c r="E27" s="6">
        <v>250</v>
      </c>
      <c r="F27" s="6">
        <f t="shared" si="0"/>
        <v>250</v>
      </c>
    </row>
    <row r="28" spans="1:9" x14ac:dyDescent="0.3">
      <c r="A28" s="8" t="s">
        <v>258</v>
      </c>
      <c r="B28">
        <v>24</v>
      </c>
      <c r="C28" t="s">
        <v>331</v>
      </c>
      <c r="D28" s="6">
        <v>1</v>
      </c>
      <c r="E28" s="6">
        <v>180</v>
      </c>
      <c r="F28" s="6">
        <f t="shared" si="0"/>
        <v>180</v>
      </c>
    </row>
    <row r="29" spans="1:9" x14ac:dyDescent="0.3">
      <c r="A29" s="8" t="s">
        <v>259</v>
      </c>
      <c r="B29">
        <v>25</v>
      </c>
      <c r="C29" t="s">
        <v>332</v>
      </c>
      <c r="D29" s="6">
        <v>1</v>
      </c>
      <c r="E29" s="6">
        <v>120</v>
      </c>
      <c r="F29" s="6">
        <f t="shared" si="0"/>
        <v>120</v>
      </c>
    </row>
    <row r="30" spans="1:9" x14ac:dyDescent="0.3">
      <c r="A30" s="8"/>
      <c r="B30">
        <v>26</v>
      </c>
      <c r="C30" t="s">
        <v>333</v>
      </c>
      <c r="D30" s="6">
        <v>4</v>
      </c>
      <c r="F30" s="6"/>
      <c r="G30" t="s">
        <v>3</v>
      </c>
      <c r="I30" s="3" t="s">
        <v>219</v>
      </c>
    </row>
    <row r="31" spans="1:9" x14ac:dyDescent="0.3">
      <c r="A31" s="8"/>
      <c r="B31">
        <v>27</v>
      </c>
      <c r="C31" t="s">
        <v>334</v>
      </c>
      <c r="D31" s="6">
        <v>2</v>
      </c>
      <c r="F31" s="6"/>
      <c r="G31" t="s">
        <v>4</v>
      </c>
      <c r="I31" s="3" t="s">
        <v>219</v>
      </c>
    </row>
    <row r="32" spans="1:9" x14ac:dyDescent="0.3">
      <c r="A32" s="8"/>
      <c r="B32">
        <v>28</v>
      </c>
      <c r="C32" t="s">
        <v>335</v>
      </c>
      <c r="D32" s="6">
        <v>2</v>
      </c>
      <c r="F32" s="6"/>
      <c r="G32" t="s">
        <v>5</v>
      </c>
      <c r="I32" s="3" t="s">
        <v>219</v>
      </c>
    </row>
    <row r="33" spans="1:12" x14ac:dyDescent="0.3">
      <c r="A33" s="8"/>
      <c r="B33">
        <v>29</v>
      </c>
      <c r="C33" t="s">
        <v>336</v>
      </c>
      <c r="D33" s="6">
        <v>2</v>
      </c>
      <c r="F33" s="6"/>
      <c r="G33" t="s">
        <v>6</v>
      </c>
      <c r="I33" s="3" t="s">
        <v>219</v>
      </c>
    </row>
    <row r="34" spans="1:12" x14ac:dyDescent="0.3">
      <c r="A34" s="8"/>
      <c r="B34">
        <v>30</v>
      </c>
      <c r="C34" t="s">
        <v>337</v>
      </c>
      <c r="D34" s="6">
        <v>1</v>
      </c>
      <c r="F34" s="6"/>
      <c r="G34" t="s">
        <v>3</v>
      </c>
      <c r="I34" s="3" t="s">
        <v>219</v>
      </c>
    </row>
    <row r="35" spans="1:12" x14ac:dyDescent="0.3">
      <c r="A35" s="8"/>
      <c r="B35">
        <v>31</v>
      </c>
      <c r="C35" t="s">
        <v>338</v>
      </c>
      <c r="D35" s="6">
        <v>1</v>
      </c>
      <c r="F35" s="6"/>
      <c r="G35" t="s">
        <v>5</v>
      </c>
      <c r="I35" s="3" t="s">
        <v>219</v>
      </c>
    </row>
    <row r="36" spans="1:12" x14ac:dyDescent="0.3">
      <c r="A36" s="8"/>
      <c r="B36">
        <v>32</v>
      </c>
      <c r="C36" t="s">
        <v>339</v>
      </c>
      <c r="D36" s="6">
        <v>1</v>
      </c>
      <c r="F36" s="6"/>
      <c r="G36" t="s">
        <v>7</v>
      </c>
      <c r="I36" s="3" t="s">
        <v>219</v>
      </c>
    </row>
    <row r="37" spans="1:12" x14ac:dyDescent="0.3">
      <c r="A37" s="8" t="s">
        <v>260</v>
      </c>
      <c r="B37">
        <v>33</v>
      </c>
      <c r="C37" s="1" t="s">
        <v>418</v>
      </c>
      <c r="D37" s="6">
        <v>1</v>
      </c>
      <c r="E37" s="6">
        <v>50</v>
      </c>
      <c r="F37" s="6">
        <f t="shared" si="0"/>
        <v>50</v>
      </c>
      <c r="G37" t="s">
        <v>8</v>
      </c>
      <c r="H37" t="s">
        <v>90</v>
      </c>
      <c r="I37" s="3" t="s">
        <v>219</v>
      </c>
      <c r="J37" s="3" t="s">
        <v>36</v>
      </c>
      <c r="K37" s="3" t="s">
        <v>220</v>
      </c>
      <c r="L37" s="3" t="s">
        <v>220</v>
      </c>
    </row>
    <row r="38" spans="1:12" x14ac:dyDescent="0.3">
      <c r="A38" s="8" t="s">
        <v>261</v>
      </c>
      <c r="B38">
        <v>34</v>
      </c>
      <c r="C38" s="1" t="s">
        <v>340</v>
      </c>
      <c r="D38" s="6">
        <v>1</v>
      </c>
      <c r="E38" s="6">
        <v>250</v>
      </c>
      <c r="F38" s="6">
        <f t="shared" si="0"/>
        <v>250</v>
      </c>
      <c r="G38" t="s">
        <v>9</v>
      </c>
      <c r="H38" t="s">
        <v>91</v>
      </c>
      <c r="I38" s="3" t="s">
        <v>219</v>
      </c>
      <c r="J38" s="3" t="s">
        <v>37</v>
      </c>
      <c r="K38" s="3" t="s">
        <v>220</v>
      </c>
      <c r="L38" s="3" t="s">
        <v>220</v>
      </c>
    </row>
    <row r="39" spans="1:12" x14ac:dyDescent="0.3">
      <c r="A39" s="8" t="s">
        <v>262</v>
      </c>
      <c r="B39">
        <v>35</v>
      </c>
      <c r="C39" s="1" t="s">
        <v>341</v>
      </c>
      <c r="D39" s="6">
        <v>1</v>
      </c>
      <c r="E39" s="6">
        <v>15</v>
      </c>
      <c r="F39" s="6">
        <f t="shared" si="0"/>
        <v>15</v>
      </c>
      <c r="G39" t="s">
        <v>10</v>
      </c>
      <c r="H39" t="s">
        <v>92</v>
      </c>
      <c r="I39" s="3" t="s">
        <v>219</v>
      </c>
      <c r="J39" s="3" t="s">
        <v>221</v>
      </c>
      <c r="K39" s="3" t="s">
        <v>222</v>
      </c>
      <c r="L39" s="3" t="s">
        <v>38</v>
      </c>
    </row>
    <row r="40" spans="1:12" x14ac:dyDescent="0.3">
      <c r="A40" s="8"/>
      <c r="C40" s="1"/>
      <c r="F40" s="6"/>
      <c r="I40" s="3"/>
      <c r="J40" s="3"/>
      <c r="K40" s="3"/>
      <c r="L40" s="3"/>
    </row>
    <row r="41" spans="1:12" x14ac:dyDescent="0.3">
      <c r="A41" s="8" t="s">
        <v>263</v>
      </c>
      <c r="B41">
        <v>36</v>
      </c>
      <c r="C41" s="1" t="s">
        <v>342</v>
      </c>
      <c r="D41" s="6">
        <v>2</v>
      </c>
      <c r="E41" s="6">
        <v>15</v>
      </c>
      <c r="F41" s="6">
        <f t="shared" si="0"/>
        <v>30</v>
      </c>
      <c r="G41" t="s">
        <v>11</v>
      </c>
      <c r="H41" t="s">
        <v>93</v>
      </c>
      <c r="I41" s="3" t="s">
        <v>223</v>
      </c>
      <c r="J41" s="3" t="s">
        <v>224</v>
      </c>
      <c r="K41" s="3" t="s">
        <v>225</v>
      </c>
      <c r="L41" s="3" t="s">
        <v>39</v>
      </c>
    </row>
    <row r="42" spans="1:12" x14ac:dyDescent="0.3">
      <c r="A42" s="8" t="s">
        <v>264</v>
      </c>
      <c r="B42">
        <v>37</v>
      </c>
      <c r="C42" s="1" t="s">
        <v>343</v>
      </c>
      <c r="D42" s="6">
        <v>4</v>
      </c>
      <c r="E42" s="6">
        <v>20</v>
      </c>
      <c r="F42" s="6">
        <f t="shared" si="0"/>
        <v>80</v>
      </c>
      <c r="G42" t="s">
        <v>12</v>
      </c>
      <c r="H42" t="s">
        <v>94</v>
      </c>
      <c r="I42" s="3" t="s">
        <v>223</v>
      </c>
      <c r="J42" s="3" t="s">
        <v>224</v>
      </c>
      <c r="K42" s="3" t="s">
        <v>226</v>
      </c>
      <c r="L42" s="3" t="s">
        <v>40</v>
      </c>
    </row>
    <row r="43" spans="1:12" x14ac:dyDescent="0.3">
      <c r="A43" s="8" t="s">
        <v>265</v>
      </c>
      <c r="B43">
        <v>38</v>
      </c>
      <c r="C43" s="1" t="s">
        <v>344</v>
      </c>
      <c r="D43" s="6">
        <v>5</v>
      </c>
      <c r="E43" s="6">
        <v>45</v>
      </c>
      <c r="F43" s="6">
        <f t="shared" si="0"/>
        <v>225</v>
      </c>
      <c r="G43" t="s">
        <v>13</v>
      </c>
      <c r="H43" t="s">
        <v>95</v>
      </c>
      <c r="I43" s="3" t="s">
        <v>223</v>
      </c>
      <c r="J43" s="3" t="s">
        <v>224</v>
      </c>
      <c r="K43" s="3" t="s">
        <v>226</v>
      </c>
      <c r="L43" s="3" t="s">
        <v>41</v>
      </c>
    </row>
    <row r="44" spans="1:12" x14ac:dyDescent="0.3">
      <c r="A44" s="8" t="s">
        <v>266</v>
      </c>
      <c r="B44">
        <v>39</v>
      </c>
      <c r="C44" s="1" t="s">
        <v>345</v>
      </c>
      <c r="D44" s="6">
        <v>1</v>
      </c>
      <c r="E44" s="6">
        <v>28</v>
      </c>
      <c r="F44" s="6">
        <f t="shared" si="0"/>
        <v>28</v>
      </c>
      <c r="G44" t="s">
        <v>14</v>
      </c>
      <c r="H44" t="s">
        <v>96</v>
      </c>
      <c r="I44" s="3" t="s">
        <v>223</v>
      </c>
      <c r="J44" s="3" t="s">
        <v>224</v>
      </c>
      <c r="K44" s="3" t="s">
        <v>226</v>
      </c>
      <c r="L44" s="3" t="s">
        <v>42</v>
      </c>
    </row>
    <row r="45" spans="1:12" x14ac:dyDescent="0.3">
      <c r="A45" s="8" t="s">
        <v>267</v>
      </c>
      <c r="B45">
        <v>40</v>
      </c>
      <c r="C45" s="1" t="s">
        <v>346</v>
      </c>
      <c r="D45" s="6">
        <v>1</v>
      </c>
      <c r="E45" s="6">
        <v>120</v>
      </c>
      <c r="F45" s="6">
        <f t="shared" si="0"/>
        <v>120</v>
      </c>
      <c r="G45" t="s">
        <v>15</v>
      </c>
      <c r="H45" t="s">
        <v>97</v>
      </c>
      <c r="I45" s="3" t="s">
        <v>223</v>
      </c>
      <c r="J45" s="3" t="s">
        <v>224</v>
      </c>
      <c r="K45" s="3" t="s">
        <v>226</v>
      </c>
      <c r="L45" s="3" t="s">
        <v>43</v>
      </c>
    </row>
    <row r="46" spans="1:12" x14ac:dyDescent="0.3">
      <c r="A46" s="8" t="s">
        <v>268</v>
      </c>
      <c r="B46">
        <v>41</v>
      </c>
      <c r="C46" s="1" t="s">
        <v>347</v>
      </c>
      <c r="D46" s="6">
        <v>5</v>
      </c>
      <c r="E46" s="6">
        <v>15</v>
      </c>
      <c r="F46" s="6">
        <f t="shared" si="0"/>
        <v>75</v>
      </c>
      <c r="G46" t="s">
        <v>16</v>
      </c>
      <c r="H46" t="s">
        <v>98</v>
      </c>
      <c r="I46" s="3" t="s">
        <v>223</v>
      </c>
      <c r="J46" s="3" t="s">
        <v>224</v>
      </c>
      <c r="K46" s="3" t="s">
        <v>44</v>
      </c>
      <c r="L46" s="3" t="s">
        <v>220</v>
      </c>
    </row>
    <row r="47" spans="1:12" x14ac:dyDescent="0.3">
      <c r="A47" s="8" t="s">
        <v>269</v>
      </c>
      <c r="B47">
        <v>42</v>
      </c>
      <c r="C47" s="1" t="s">
        <v>348</v>
      </c>
      <c r="D47" s="6">
        <v>3</v>
      </c>
      <c r="E47" s="6">
        <v>28</v>
      </c>
      <c r="F47" s="6">
        <f t="shared" si="0"/>
        <v>84</v>
      </c>
      <c r="G47" t="s">
        <v>17</v>
      </c>
      <c r="H47" t="s">
        <v>99</v>
      </c>
      <c r="I47" s="3" t="s">
        <v>223</v>
      </c>
      <c r="J47" s="3" t="s">
        <v>224</v>
      </c>
      <c r="K47" s="3" t="s">
        <v>45</v>
      </c>
      <c r="L47" s="3" t="s">
        <v>220</v>
      </c>
    </row>
    <row r="48" spans="1:12" x14ac:dyDescent="0.3">
      <c r="A48" s="8" t="s">
        <v>264</v>
      </c>
      <c r="B48">
        <v>43</v>
      </c>
      <c r="C48" s="1" t="s">
        <v>349</v>
      </c>
      <c r="D48" s="6">
        <v>4</v>
      </c>
      <c r="E48" s="6">
        <v>20</v>
      </c>
      <c r="F48" s="6">
        <f t="shared" si="0"/>
        <v>80</v>
      </c>
      <c r="G48" t="s">
        <v>12</v>
      </c>
      <c r="H48" t="s">
        <v>100</v>
      </c>
      <c r="I48" s="3" t="s">
        <v>223</v>
      </c>
      <c r="J48" s="3" t="s">
        <v>227</v>
      </c>
      <c r="K48" s="3" t="s">
        <v>228</v>
      </c>
      <c r="L48" s="3" t="s">
        <v>46</v>
      </c>
    </row>
    <row r="49" spans="1:12" x14ac:dyDescent="0.3">
      <c r="A49" s="8" t="s">
        <v>267</v>
      </c>
      <c r="B49">
        <v>44</v>
      </c>
      <c r="C49" s="1" t="s">
        <v>350</v>
      </c>
      <c r="D49" s="6">
        <v>1</v>
      </c>
      <c r="E49" s="6">
        <v>45</v>
      </c>
      <c r="F49" s="6">
        <f t="shared" si="0"/>
        <v>45</v>
      </c>
      <c r="G49" t="s">
        <v>15</v>
      </c>
      <c r="H49" t="s">
        <v>101</v>
      </c>
      <c r="I49" s="3" t="s">
        <v>223</v>
      </c>
      <c r="J49" s="3" t="s">
        <v>227</v>
      </c>
      <c r="K49" s="3" t="s">
        <v>228</v>
      </c>
      <c r="L49" s="3" t="s">
        <v>47</v>
      </c>
    </row>
    <row r="50" spans="1:12" x14ac:dyDescent="0.3">
      <c r="A50" s="8" t="s">
        <v>266</v>
      </c>
      <c r="B50">
        <v>45</v>
      </c>
      <c r="C50" s="1" t="s">
        <v>351</v>
      </c>
      <c r="D50" s="6">
        <v>1</v>
      </c>
      <c r="E50" s="6">
        <v>120</v>
      </c>
      <c r="F50" s="6">
        <f t="shared" si="0"/>
        <v>120</v>
      </c>
      <c r="G50" t="s">
        <v>14</v>
      </c>
      <c r="H50" t="s">
        <v>102</v>
      </c>
      <c r="I50" s="3" t="s">
        <v>223</v>
      </c>
      <c r="J50" s="3" t="s">
        <v>227</v>
      </c>
      <c r="K50" s="3" t="s">
        <v>228</v>
      </c>
      <c r="L50" s="3" t="s">
        <v>48</v>
      </c>
    </row>
    <row r="51" spans="1:12" x14ac:dyDescent="0.3">
      <c r="A51" s="8" t="s">
        <v>265</v>
      </c>
      <c r="B51">
        <v>46</v>
      </c>
      <c r="C51" s="1" t="s">
        <v>352</v>
      </c>
      <c r="D51" s="6">
        <v>5</v>
      </c>
      <c r="E51" s="6">
        <v>2</v>
      </c>
      <c r="F51" s="6">
        <f t="shared" si="0"/>
        <v>10</v>
      </c>
      <c r="G51" t="s">
        <v>13</v>
      </c>
      <c r="H51" t="s">
        <v>103</v>
      </c>
      <c r="I51" s="3" t="s">
        <v>223</v>
      </c>
      <c r="J51" s="3" t="s">
        <v>227</v>
      </c>
      <c r="K51" s="3" t="s">
        <v>228</v>
      </c>
      <c r="L51" s="3" t="s">
        <v>49</v>
      </c>
    </row>
    <row r="52" spans="1:12" x14ac:dyDescent="0.3">
      <c r="A52" s="8" t="s">
        <v>268</v>
      </c>
      <c r="B52">
        <v>47</v>
      </c>
      <c r="C52" s="1" t="s">
        <v>353</v>
      </c>
      <c r="D52" s="6">
        <v>5</v>
      </c>
      <c r="E52" s="6">
        <v>2</v>
      </c>
      <c r="F52" s="6">
        <f t="shared" si="0"/>
        <v>10</v>
      </c>
      <c r="G52" t="s">
        <v>16</v>
      </c>
      <c r="H52" t="s">
        <v>104</v>
      </c>
      <c r="I52" s="3" t="s">
        <v>223</v>
      </c>
      <c r="J52" s="3" t="s">
        <v>227</v>
      </c>
      <c r="K52" s="3" t="s">
        <v>50</v>
      </c>
      <c r="L52" s="3" t="s">
        <v>220</v>
      </c>
    </row>
    <row r="53" spans="1:12" x14ac:dyDescent="0.3">
      <c r="A53" s="8"/>
      <c r="B53">
        <v>48</v>
      </c>
      <c r="C53" s="1" t="s">
        <v>354</v>
      </c>
      <c r="D53" s="6">
        <v>1</v>
      </c>
      <c r="F53" s="6"/>
      <c r="G53" t="s">
        <v>11</v>
      </c>
      <c r="H53" t="s">
        <v>105</v>
      </c>
      <c r="I53" s="3" t="s">
        <v>223</v>
      </c>
      <c r="J53" s="3" t="s">
        <v>227</v>
      </c>
      <c r="K53" s="3" t="s">
        <v>229</v>
      </c>
      <c r="L53" s="3" t="s">
        <v>51</v>
      </c>
    </row>
    <row r="54" spans="1:12" x14ac:dyDescent="0.3">
      <c r="A54" s="8"/>
      <c r="B54">
        <v>49</v>
      </c>
      <c r="C54" s="1" t="s">
        <v>355</v>
      </c>
      <c r="D54" s="6">
        <v>1</v>
      </c>
      <c r="F54" s="6"/>
      <c r="G54" t="s">
        <v>11</v>
      </c>
      <c r="H54" t="s">
        <v>106</v>
      </c>
      <c r="I54" s="3" t="s">
        <v>223</v>
      </c>
      <c r="J54" s="3" t="s">
        <v>227</v>
      </c>
      <c r="K54" s="3" t="s">
        <v>230</v>
      </c>
      <c r="L54" s="3" t="s">
        <v>52</v>
      </c>
    </row>
    <row r="55" spans="1:12" x14ac:dyDescent="0.3">
      <c r="A55" s="8" t="s">
        <v>269</v>
      </c>
      <c r="B55">
        <v>50</v>
      </c>
      <c r="C55" s="1" t="s">
        <v>356</v>
      </c>
      <c r="D55" s="6">
        <v>3</v>
      </c>
      <c r="E55" s="6">
        <v>120</v>
      </c>
      <c r="F55" s="6">
        <f t="shared" si="0"/>
        <v>360</v>
      </c>
      <c r="G55" t="s">
        <v>17</v>
      </c>
      <c r="H55" t="s">
        <v>107</v>
      </c>
      <c r="I55" s="3" t="s">
        <v>223</v>
      </c>
      <c r="J55" s="3" t="s">
        <v>227</v>
      </c>
      <c r="K55" s="3" t="s">
        <v>53</v>
      </c>
      <c r="L55" s="3" t="s">
        <v>220</v>
      </c>
    </row>
    <row r="56" spans="1:12" x14ac:dyDescent="0.3">
      <c r="A56" s="8" t="s">
        <v>263</v>
      </c>
      <c r="B56">
        <v>51</v>
      </c>
      <c r="C56" s="1" t="s">
        <v>357</v>
      </c>
      <c r="D56" s="6">
        <v>2</v>
      </c>
      <c r="E56" s="6">
        <v>15</v>
      </c>
      <c r="F56" s="6">
        <f t="shared" si="0"/>
        <v>30</v>
      </c>
      <c r="G56" t="s">
        <v>11</v>
      </c>
      <c r="H56" t="s">
        <v>108</v>
      </c>
      <c r="I56" s="3" t="s">
        <v>223</v>
      </c>
      <c r="J56" s="3" t="s">
        <v>231</v>
      </c>
      <c r="K56" s="3" t="s">
        <v>232</v>
      </c>
      <c r="L56" s="3" t="s">
        <v>54</v>
      </c>
    </row>
    <row r="57" spans="1:12" x14ac:dyDescent="0.3">
      <c r="A57" s="8" t="s">
        <v>268</v>
      </c>
      <c r="B57">
        <v>52</v>
      </c>
      <c r="C57" s="1" t="s">
        <v>358</v>
      </c>
      <c r="D57" s="6">
        <v>5</v>
      </c>
      <c r="E57" s="6">
        <v>20</v>
      </c>
      <c r="F57" s="6">
        <f t="shared" si="0"/>
        <v>100</v>
      </c>
      <c r="G57" t="s">
        <v>16</v>
      </c>
      <c r="H57" t="s">
        <v>109</v>
      </c>
      <c r="I57" s="3" t="s">
        <v>223</v>
      </c>
      <c r="J57" s="3" t="s">
        <v>231</v>
      </c>
      <c r="K57" s="3" t="s">
        <v>55</v>
      </c>
      <c r="L57" s="3" t="s">
        <v>220</v>
      </c>
    </row>
    <row r="58" spans="1:12" x14ac:dyDescent="0.3">
      <c r="A58" s="8" t="s">
        <v>264</v>
      </c>
      <c r="B58">
        <v>53</v>
      </c>
      <c r="C58" s="1" t="s">
        <v>359</v>
      </c>
      <c r="D58" s="6">
        <v>4</v>
      </c>
      <c r="E58" s="6">
        <v>28</v>
      </c>
      <c r="F58" s="6">
        <f t="shared" si="0"/>
        <v>112</v>
      </c>
      <c r="G58" t="s">
        <v>12</v>
      </c>
      <c r="H58" t="s">
        <v>110</v>
      </c>
      <c r="I58" s="3" t="s">
        <v>223</v>
      </c>
      <c r="J58" s="3" t="s">
        <v>231</v>
      </c>
      <c r="K58" s="3" t="s">
        <v>233</v>
      </c>
      <c r="L58" s="3" t="s">
        <v>56</v>
      </c>
    </row>
    <row r="59" spans="1:12" x14ac:dyDescent="0.3">
      <c r="A59" s="8" t="s">
        <v>266</v>
      </c>
      <c r="B59">
        <v>54</v>
      </c>
      <c r="C59" s="1" t="s">
        <v>360</v>
      </c>
      <c r="D59" s="6">
        <v>1</v>
      </c>
      <c r="E59" s="6">
        <v>35</v>
      </c>
      <c r="F59" s="6">
        <f t="shared" si="0"/>
        <v>35</v>
      </c>
      <c r="G59" t="s">
        <v>14</v>
      </c>
      <c r="H59" t="s">
        <v>111</v>
      </c>
      <c r="I59" s="3" t="s">
        <v>223</v>
      </c>
      <c r="J59" s="3" t="s">
        <v>231</v>
      </c>
      <c r="K59" s="3" t="s">
        <v>233</v>
      </c>
      <c r="L59" s="3" t="s">
        <v>57</v>
      </c>
    </row>
    <row r="60" spans="1:12" x14ac:dyDescent="0.3">
      <c r="A60" s="8" t="s">
        <v>267</v>
      </c>
      <c r="B60">
        <v>55</v>
      </c>
      <c r="C60" s="1" t="s">
        <v>361</v>
      </c>
      <c r="D60" s="6">
        <v>1</v>
      </c>
      <c r="E60" s="6">
        <v>25</v>
      </c>
      <c r="F60" s="6">
        <f t="shared" si="0"/>
        <v>25</v>
      </c>
      <c r="G60" t="s">
        <v>15</v>
      </c>
      <c r="H60" t="s">
        <v>112</v>
      </c>
      <c r="I60" s="3" t="s">
        <v>223</v>
      </c>
      <c r="J60" s="3" t="s">
        <v>231</v>
      </c>
      <c r="K60" s="3" t="s">
        <v>233</v>
      </c>
      <c r="L60" s="3" t="s">
        <v>58</v>
      </c>
    </row>
    <row r="61" spans="1:12" x14ac:dyDescent="0.3">
      <c r="A61" s="8" t="s">
        <v>265</v>
      </c>
      <c r="B61">
        <v>56</v>
      </c>
      <c r="C61" s="1" t="s">
        <v>362</v>
      </c>
      <c r="D61" s="6">
        <v>5</v>
      </c>
      <c r="E61" s="6">
        <v>15</v>
      </c>
      <c r="F61" s="6">
        <f t="shared" si="0"/>
        <v>75</v>
      </c>
      <c r="G61" t="s">
        <v>13</v>
      </c>
      <c r="H61" t="s">
        <v>113</v>
      </c>
      <c r="I61" s="3" t="s">
        <v>223</v>
      </c>
      <c r="J61" s="3" t="s">
        <v>231</v>
      </c>
      <c r="K61" s="3" t="s">
        <v>233</v>
      </c>
      <c r="L61" s="3" t="s">
        <v>59</v>
      </c>
    </row>
    <row r="62" spans="1:12" x14ac:dyDescent="0.3">
      <c r="A62" s="8" t="s">
        <v>269</v>
      </c>
      <c r="B62">
        <v>57</v>
      </c>
      <c r="C62" s="1" t="s">
        <v>363</v>
      </c>
      <c r="D62" s="6">
        <v>3</v>
      </c>
      <c r="E62" s="6">
        <v>120</v>
      </c>
      <c r="F62" s="6">
        <f t="shared" si="0"/>
        <v>360</v>
      </c>
      <c r="G62" t="s">
        <v>17</v>
      </c>
      <c r="H62" t="s">
        <v>114</v>
      </c>
      <c r="I62" s="3" t="s">
        <v>223</v>
      </c>
      <c r="J62" s="3" t="s">
        <v>231</v>
      </c>
      <c r="K62" s="3" t="s">
        <v>60</v>
      </c>
      <c r="L62" s="3" t="s">
        <v>220</v>
      </c>
    </row>
    <row r="63" spans="1:12" x14ac:dyDescent="0.3">
      <c r="A63" s="8" t="s">
        <v>270</v>
      </c>
      <c r="B63">
        <v>58</v>
      </c>
      <c r="C63" s="1" t="s">
        <v>364</v>
      </c>
      <c r="D63" s="6">
        <v>5</v>
      </c>
      <c r="E63" s="6">
        <v>35</v>
      </c>
      <c r="F63" s="6">
        <f t="shared" si="0"/>
        <v>175</v>
      </c>
      <c r="G63" t="s">
        <v>18</v>
      </c>
      <c r="H63" t="s">
        <v>115</v>
      </c>
      <c r="I63" s="3" t="s">
        <v>223</v>
      </c>
      <c r="J63" s="3" t="s">
        <v>234</v>
      </c>
      <c r="K63" s="3" t="s">
        <v>235</v>
      </c>
      <c r="L63" s="3" t="s">
        <v>61</v>
      </c>
    </row>
    <row r="64" spans="1:12" x14ac:dyDescent="0.3">
      <c r="A64" s="8" t="s">
        <v>271</v>
      </c>
      <c r="B64">
        <v>59</v>
      </c>
      <c r="C64" s="1" t="s">
        <v>365</v>
      </c>
      <c r="D64" s="6">
        <v>3</v>
      </c>
      <c r="E64" s="6">
        <v>80</v>
      </c>
      <c r="F64" s="6">
        <f t="shared" si="0"/>
        <v>240</v>
      </c>
      <c r="G64" t="s">
        <v>19</v>
      </c>
      <c r="H64" t="s">
        <v>116</v>
      </c>
      <c r="I64" s="3" t="s">
        <v>223</v>
      </c>
      <c r="J64" s="3" t="s">
        <v>234</v>
      </c>
      <c r="K64" s="3" t="s">
        <v>235</v>
      </c>
      <c r="L64" s="3" t="s">
        <v>62</v>
      </c>
    </row>
    <row r="65" spans="1:12" x14ac:dyDescent="0.3">
      <c r="A65" s="8" t="s">
        <v>268</v>
      </c>
      <c r="B65">
        <v>60</v>
      </c>
      <c r="C65" s="1" t="s">
        <v>366</v>
      </c>
      <c r="D65" s="6">
        <v>5</v>
      </c>
      <c r="E65" s="6">
        <v>0.3</v>
      </c>
      <c r="F65" s="6">
        <f t="shared" si="0"/>
        <v>1.5</v>
      </c>
      <c r="G65" t="s">
        <v>16</v>
      </c>
      <c r="H65" t="s">
        <v>117</v>
      </c>
      <c r="I65" s="3" t="s">
        <v>223</v>
      </c>
      <c r="J65" s="3" t="s">
        <v>234</v>
      </c>
      <c r="K65" s="3" t="s">
        <v>236</v>
      </c>
      <c r="L65" s="3" t="s">
        <v>220</v>
      </c>
    </row>
    <row r="66" spans="1:12" x14ac:dyDescent="0.3">
      <c r="A66" s="8" t="s">
        <v>269</v>
      </c>
      <c r="B66">
        <v>61</v>
      </c>
      <c r="C66" s="1" t="s">
        <v>367</v>
      </c>
      <c r="D66" s="6">
        <v>3</v>
      </c>
      <c r="E66" s="6">
        <v>80</v>
      </c>
      <c r="F66" s="6">
        <f t="shared" si="0"/>
        <v>240</v>
      </c>
      <c r="G66" t="s">
        <v>17</v>
      </c>
      <c r="H66" t="s">
        <v>118</v>
      </c>
      <c r="I66" s="3" t="s">
        <v>223</v>
      </c>
      <c r="J66" s="3" t="s">
        <v>234</v>
      </c>
      <c r="K66" s="3" t="s">
        <v>63</v>
      </c>
      <c r="L66" s="3" t="s">
        <v>220</v>
      </c>
    </row>
    <row r="67" spans="1:12" x14ac:dyDescent="0.3">
      <c r="A67" s="8"/>
      <c r="C67" s="1"/>
      <c r="F67" s="6"/>
      <c r="I67" s="3"/>
      <c r="J67" s="3"/>
      <c r="K67" s="3"/>
      <c r="L67" s="3"/>
    </row>
    <row r="68" spans="1:12" x14ac:dyDescent="0.3">
      <c r="A68" s="8" t="s">
        <v>261</v>
      </c>
      <c r="B68">
        <v>62</v>
      </c>
      <c r="C68" s="1" t="s">
        <v>368</v>
      </c>
      <c r="D68" s="6">
        <v>1</v>
      </c>
      <c r="F68" s="6"/>
      <c r="G68" t="s">
        <v>20</v>
      </c>
      <c r="H68" t="s">
        <v>119</v>
      </c>
      <c r="I68" s="3" t="s">
        <v>237</v>
      </c>
      <c r="J68" s="3" t="s">
        <v>64</v>
      </c>
      <c r="K68" s="3" t="s">
        <v>220</v>
      </c>
      <c r="L68" s="3" t="s">
        <v>220</v>
      </c>
    </row>
    <row r="69" spans="1:12" x14ac:dyDescent="0.3">
      <c r="A69" s="8" t="s">
        <v>272</v>
      </c>
      <c r="B69">
        <v>63</v>
      </c>
      <c r="C69" s="1" t="s">
        <v>369</v>
      </c>
      <c r="D69" s="6">
        <v>4</v>
      </c>
      <c r="E69" s="6">
        <v>80</v>
      </c>
      <c r="F69" s="6">
        <f t="shared" si="0"/>
        <v>320</v>
      </c>
      <c r="G69" t="s">
        <v>21</v>
      </c>
      <c r="H69" t="s">
        <v>120</v>
      </c>
      <c r="I69" s="3" t="s">
        <v>237</v>
      </c>
      <c r="J69" s="3" t="s">
        <v>238</v>
      </c>
      <c r="K69" s="3" t="s">
        <v>65</v>
      </c>
      <c r="L69" s="3" t="s">
        <v>220</v>
      </c>
    </row>
    <row r="70" spans="1:12" x14ac:dyDescent="0.3">
      <c r="A70" s="8" t="s">
        <v>261</v>
      </c>
      <c r="B70">
        <v>64</v>
      </c>
      <c r="C70" s="1" t="s">
        <v>370</v>
      </c>
      <c r="D70" s="6">
        <v>1</v>
      </c>
      <c r="F70" s="6"/>
      <c r="G70" t="s">
        <v>22</v>
      </c>
      <c r="H70" t="s">
        <v>121</v>
      </c>
      <c r="I70" s="3" t="s">
        <v>237</v>
      </c>
      <c r="J70" s="3" t="s">
        <v>66</v>
      </c>
      <c r="K70" s="3" t="s">
        <v>220</v>
      </c>
      <c r="L70" s="3" t="s">
        <v>220</v>
      </c>
    </row>
    <row r="71" spans="1:12" x14ac:dyDescent="0.3">
      <c r="A71" s="8" t="s">
        <v>255</v>
      </c>
      <c r="B71">
        <v>65</v>
      </c>
      <c r="C71" s="1" t="s">
        <v>371</v>
      </c>
      <c r="D71" s="6">
        <v>8</v>
      </c>
      <c r="E71" s="6">
        <v>60</v>
      </c>
      <c r="F71" s="6">
        <f t="shared" si="0"/>
        <v>480</v>
      </c>
      <c r="G71" t="s">
        <v>23</v>
      </c>
      <c r="H71" t="s">
        <v>122</v>
      </c>
      <c r="I71" s="3" t="s">
        <v>237</v>
      </c>
      <c r="J71" s="3" t="s">
        <v>67</v>
      </c>
      <c r="K71" s="3" t="s">
        <v>220</v>
      </c>
      <c r="L71" s="3" t="s">
        <v>220</v>
      </c>
    </row>
    <row r="72" spans="1:12" x14ac:dyDescent="0.3">
      <c r="A72" s="8" t="s">
        <v>261</v>
      </c>
      <c r="B72">
        <v>66</v>
      </c>
      <c r="C72" s="1" t="s">
        <v>372</v>
      </c>
      <c r="D72" s="6">
        <v>2</v>
      </c>
      <c r="E72" s="6">
        <v>80</v>
      </c>
      <c r="F72" s="6">
        <f t="shared" ref="F72:F77" si="1">E72*D72</f>
        <v>160</v>
      </c>
      <c r="G72" t="s">
        <v>24</v>
      </c>
      <c r="H72" t="s">
        <v>123</v>
      </c>
      <c r="I72" s="3" t="s">
        <v>237</v>
      </c>
      <c r="J72" s="3" t="s">
        <v>68</v>
      </c>
      <c r="K72" s="3" t="s">
        <v>220</v>
      </c>
      <c r="L72" s="3" t="s">
        <v>220</v>
      </c>
    </row>
    <row r="73" spans="1:12" x14ac:dyDescent="0.3">
      <c r="A73" s="8" t="s">
        <v>261</v>
      </c>
      <c r="B73">
        <v>67</v>
      </c>
      <c r="C73" s="1" t="s">
        <v>373</v>
      </c>
      <c r="D73" s="6">
        <v>1</v>
      </c>
      <c r="E73" s="6">
        <v>0</v>
      </c>
      <c r="F73" s="6">
        <f t="shared" si="1"/>
        <v>0</v>
      </c>
      <c r="G73" t="s">
        <v>25</v>
      </c>
      <c r="H73" t="s">
        <v>124</v>
      </c>
      <c r="I73" s="3" t="s">
        <v>237</v>
      </c>
      <c r="J73" s="3" t="s">
        <v>69</v>
      </c>
      <c r="K73" s="3" t="s">
        <v>220</v>
      </c>
      <c r="L73" s="3" t="s">
        <v>220</v>
      </c>
    </row>
    <row r="74" spans="1:12" x14ac:dyDescent="0.3">
      <c r="A74" s="8" t="s">
        <v>273</v>
      </c>
      <c r="B74">
        <v>68</v>
      </c>
      <c r="C74" s="1" t="s">
        <v>374</v>
      </c>
      <c r="D74" s="6">
        <v>1</v>
      </c>
      <c r="E74" s="6">
        <v>50</v>
      </c>
      <c r="F74" s="6">
        <f t="shared" si="1"/>
        <v>50</v>
      </c>
      <c r="G74" t="s">
        <v>26</v>
      </c>
      <c r="H74" t="s">
        <v>125</v>
      </c>
      <c r="I74" s="3" t="s">
        <v>237</v>
      </c>
      <c r="J74" s="3" t="s">
        <v>70</v>
      </c>
      <c r="K74" s="3" t="s">
        <v>220</v>
      </c>
      <c r="L74" s="3" t="s">
        <v>220</v>
      </c>
    </row>
    <row r="75" spans="1:12" x14ac:dyDescent="0.3">
      <c r="A75" s="8" t="s">
        <v>261</v>
      </c>
      <c r="B75">
        <v>69</v>
      </c>
      <c r="C75" s="1" t="s">
        <v>375</v>
      </c>
      <c r="D75" s="6">
        <v>1</v>
      </c>
      <c r="E75" s="6">
        <v>50</v>
      </c>
      <c r="F75" s="6">
        <f t="shared" si="1"/>
        <v>50</v>
      </c>
      <c r="G75" t="s">
        <v>27</v>
      </c>
      <c r="H75" t="s">
        <v>126</v>
      </c>
      <c r="I75" s="3" t="s">
        <v>237</v>
      </c>
      <c r="J75" s="3" t="s">
        <v>71</v>
      </c>
      <c r="K75" s="3" t="s">
        <v>220</v>
      </c>
      <c r="L75" s="3" t="s">
        <v>220</v>
      </c>
    </row>
    <row r="76" spans="1:12" x14ac:dyDescent="0.3">
      <c r="A76" s="8" t="s">
        <v>274</v>
      </c>
      <c r="B76">
        <v>70</v>
      </c>
      <c r="C76" s="1" t="s">
        <v>376</v>
      </c>
      <c r="D76" s="6">
        <v>1</v>
      </c>
      <c r="E76" s="6">
        <v>80</v>
      </c>
      <c r="F76" s="6">
        <f t="shared" si="1"/>
        <v>80</v>
      </c>
      <c r="G76" t="s">
        <v>28</v>
      </c>
      <c r="H76" t="s">
        <v>127</v>
      </c>
      <c r="I76" s="3" t="s">
        <v>237</v>
      </c>
      <c r="J76" s="3" t="s">
        <v>72</v>
      </c>
      <c r="K76" s="3" t="s">
        <v>220</v>
      </c>
      <c r="L76" s="3" t="s">
        <v>220</v>
      </c>
    </row>
    <row r="77" spans="1:12" x14ac:dyDescent="0.3">
      <c r="A77" s="8" t="s">
        <v>275</v>
      </c>
      <c r="B77">
        <v>73</v>
      </c>
      <c r="C77" s="1" t="s">
        <v>377</v>
      </c>
      <c r="D77" s="6">
        <v>4</v>
      </c>
      <c r="F77" s="6">
        <f t="shared" si="1"/>
        <v>0</v>
      </c>
      <c r="G77" t="s">
        <v>29</v>
      </c>
      <c r="H77" t="s">
        <v>128</v>
      </c>
      <c r="I77" s="3" t="s">
        <v>237</v>
      </c>
      <c r="J77" s="3" t="s">
        <v>239</v>
      </c>
      <c r="K77" s="3" t="s">
        <v>73</v>
      </c>
      <c r="L77" s="3" t="s">
        <v>220</v>
      </c>
    </row>
    <row r="78" spans="1:12" x14ac:dyDescent="0.3">
      <c r="C78" s="1"/>
      <c r="F78" s="11">
        <f>SUM(F5:F77)</f>
        <v>7361.6399999999994</v>
      </c>
      <c r="I78" s="3"/>
      <c r="J78" s="3"/>
      <c r="K78" s="3"/>
      <c r="L78" s="3"/>
    </row>
    <row r="79" spans="1:12" x14ac:dyDescent="0.3">
      <c r="C79" s="1"/>
      <c r="I79" s="3"/>
      <c r="J79" s="3"/>
      <c r="K79" s="3"/>
      <c r="L79" s="3"/>
    </row>
    <row r="80" spans="1:12" x14ac:dyDescent="0.3">
      <c r="C80" s="1"/>
      <c r="I80" s="3"/>
      <c r="J80" s="3"/>
      <c r="K80" s="3"/>
      <c r="L80" s="3"/>
    </row>
    <row r="81" spans="3:12" x14ac:dyDescent="0.3">
      <c r="C81" s="1"/>
      <c r="I81" s="3"/>
      <c r="J81" s="3"/>
      <c r="K81" s="3"/>
      <c r="L81" s="3"/>
    </row>
    <row r="82" spans="3:12" x14ac:dyDescent="0.3">
      <c r="C82" s="1"/>
      <c r="I82" s="3"/>
      <c r="J82" s="3"/>
      <c r="K82" s="3"/>
      <c r="L82" s="3"/>
    </row>
    <row r="83" spans="3:12" x14ac:dyDescent="0.3">
      <c r="C83" s="1"/>
      <c r="I83" s="3"/>
      <c r="J83" s="3"/>
      <c r="K83" s="3"/>
      <c r="L83" s="3"/>
    </row>
    <row r="84" spans="3:12" x14ac:dyDescent="0.3">
      <c r="C84" s="1"/>
      <c r="I84" s="3"/>
      <c r="J84" s="3"/>
      <c r="K84" s="3"/>
      <c r="L84" s="3"/>
    </row>
    <row r="85" spans="3:12" x14ac:dyDescent="0.3">
      <c r="C85" s="1"/>
      <c r="I85" s="3"/>
      <c r="J85" s="3"/>
      <c r="K85" s="3"/>
      <c r="L85" s="3"/>
    </row>
    <row r="86" spans="3:12" x14ac:dyDescent="0.3">
      <c r="C86" s="1"/>
      <c r="I86" s="3"/>
      <c r="J86" s="3"/>
      <c r="K86" s="3"/>
      <c r="L86" s="3"/>
    </row>
    <row r="87" spans="3:12" x14ac:dyDescent="0.3">
      <c r="C87" s="1"/>
      <c r="I87" s="3"/>
      <c r="J87" s="3"/>
      <c r="K87" s="3"/>
      <c r="L87" s="3"/>
    </row>
    <row r="88" spans="3:12" x14ac:dyDescent="0.3">
      <c r="C88" s="1"/>
      <c r="I88" s="3"/>
      <c r="J88" s="3"/>
      <c r="K88" s="3"/>
      <c r="L88" s="3"/>
    </row>
    <row r="89" spans="3:12" x14ac:dyDescent="0.3">
      <c r="C89" s="1"/>
      <c r="I89" s="3"/>
      <c r="J89" s="3"/>
      <c r="K89" s="3"/>
      <c r="L89" s="3"/>
    </row>
    <row r="90" spans="3:12" x14ac:dyDescent="0.3">
      <c r="C90" s="1"/>
      <c r="I90" s="3"/>
      <c r="J90" s="3"/>
      <c r="K90" s="3"/>
      <c r="L90" s="3"/>
    </row>
    <row r="91" spans="3:12" x14ac:dyDescent="0.3">
      <c r="C91" s="1"/>
      <c r="I91" s="3"/>
      <c r="J91" s="3"/>
      <c r="K91" s="3"/>
      <c r="L91" s="3"/>
    </row>
    <row r="92" spans="3:12" x14ac:dyDescent="0.3">
      <c r="C92" s="1"/>
      <c r="I92" s="3"/>
      <c r="J92" s="3"/>
      <c r="K92" s="3"/>
      <c r="L92" s="3"/>
    </row>
    <row r="93" spans="3:12" x14ac:dyDescent="0.3">
      <c r="C93" s="1"/>
      <c r="I93" s="3"/>
      <c r="J93" s="3"/>
      <c r="K93" s="3"/>
      <c r="L93" s="3"/>
    </row>
    <row r="94" spans="3:12" x14ac:dyDescent="0.3">
      <c r="C94" s="1"/>
      <c r="I94" s="3"/>
      <c r="J94" s="3"/>
      <c r="K94" s="3"/>
      <c r="L94" s="3"/>
    </row>
    <row r="95" spans="3:12" x14ac:dyDescent="0.3">
      <c r="C95" s="1"/>
      <c r="I95" s="3"/>
      <c r="J95" s="3"/>
      <c r="K95" s="3"/>
      <c r="L95" s="3"/>
    </row>
    <row r="96" spans="3:12" x14ac:dyDescent="0.3">
      <c r="C96" s="1"/>
      <c r="I96" s="3"/>
      <c r="J96" s="3"/>
      <c r="K96" s="3"/>
      <c r="L96" s="3"/>
    </row>
    <row r="97" spans="3:12" x14ac:dyDescent="0.3">
      <c r="C97" s="1"/>
      <c r="I97" s="3"/>
      <c r="J97" s="3"/>
      <c r="K97" s="3"/>
      <c r="L97" s="3"/>
    </row>
    <row r="98" spans="3:12" x14ac:dyDescent="0.3">
      <c r="C98" s="1"/>
      <c r="I98" s="3"/>
      <c r="J98" s="3"/>
      <c r="K98" s="3"/>
      <c r="L98" s="3"/>
    </row>
    <row r="99" spans="3:12" x14ac:dyDescent="0.3">
      <c r="C99" s="1"/>
      <c r="I99" s="3"/>
      <c r="J99" s="3"/>
      <c r="K99" s="3"/>
      <c r="L99" s="3"/>
    </row>
    <row r="100" spans="3:12" x14ac:dyDescent="0.3">
      <c r="C100" s="1"/>
      <c r="I100" s="3"/>
      <c r="J100" s="3"/>
      <c r="K100" s="3"/>
      <c r="L100" s="3"/>
    </row>
    <row r="101" spans="3:12" x14ac:dyDescent="0.3">
      <c r="C101" s="1"/>
      <c r="I101" s="3"/>
      <c r="J101" s="3"/>
      <c r="K101" s="3"/>
      <c r="L101" s="3"/>
    </row>
    <row r="102" spans="3:12" x14ac:dyDescent="0.3">
      <c r="C102" s="1"/>
      <c r="I102" s="3"/>
      <c r="J102" s="3"/>
      <c r="K102" s="3"/>
      <c r="L102" s="3"/>
    </row>
    <row r="103" spans="3:12" x14ac:dyDescent="0.3">
      <c r="C103" s="1"/>
      <c r="I103" s="3"/>
      <c r="J103" s="3"/>
      <c r="K103" s="3"/>
      <c r="L103" s="3"/>
    </row>
    <row r="104" spans="3:12" x14ac:dyDescent="0.3">
      <c r="C104" s="1"/>
      <c r="I104" s="3"/>
      <c r="J104" s="3"/>
      <c r="K104" s="3"/>
      <c r="L104" s="3"/>
    </row>
    <row r="105" spans="3:12" x14ac:dyDescent="0.3">
      <c r="C105" s="1"/>
      <c r="I105" s="3"/>
      <c r="J105" s="3"/>
      <c r="K105" s="3"/>
      <c r="L105" s="3"/>
    </row>
    <row r="106" spans="3:12" x14ac:dyDescent="0.3">
      <c r="C106" s="1"/>
      <c r="I106" s="3"/>
      <c r="J106" s="3"/>
      <c r="K106" s="3"/>
      <c r="L106" s="3"/>
    </row>
    <row r="107" spans="3:12" x14ac:dyDescent="0.3">
      <c r="C107" s="1"/>
      <c r="I107" s="3"/>
      <c r="J107" s="3"/>
      <c r="K107" s="3"/>
      <c r="L107" s="3"/>
    </row>
    <row r="108" spans="3:12" x14ac:dyDescent="0.3">
      <c r="C108" s="1"/>
      <c r="I108" s="3"/>
      <c r="J108" s="3"/>
      <c r="K108" s="3"/>
      <c r="L108" s="3"/>
    </row>
    <row r="109" spans="3:12" x14ac:dyDescent="0.3">
      <c r="C109" s="1"/>
      <c r="I109" s="3"/>
      <c r="J109" s="3"/>
      <c r="K109" s="3"/>
      <c r="L109" s="3"/>
    </row>
    <row r="110" spans="3:12" x14ac:dyDescent="0.3">
      <c r="C110" s="1"/>
      <c r="I110" s="3"/>
      <c r="J110" s="3"/>
      <c r="K110" s="3"/>
      <c r="L110" s="3"/>
    </row>
    <row r="111" spans="3:12" x14ac:dyDescent="0.3">
      <c r="C111" s="1"/>
      <c r="I111" s="3"/>
      <c r="J111" s="3"/>
      <c r="K111" s="3"/>
      <c r="L111" s="3"/>
    </row>
    <row r="112" spans="3:12" x14ac:dyDescent="0.3">
      <c r="C112" s="1"/>
      <c r="I112" s="3"/>
      <c r="J112" s="3"/>
      <c r="K112" s="3"/>
      <c r="L112" s="3"/>
    </row>
    <row r="113" spans="3:12" x14ac:dyDescent="0.3">
      <c r="C113" s="1"/>
      <c r="I113" s="3"/>
      <c r="J113" s="3"/>
      <c r="K113" s="3"/>
      <c r="L113" s="3"/>
    </row>
    <row r="114" spans="3:12" x14ac:dyDescent="0.3">
      <c r="C114" s="1"/>
      <c r="I114" s="3"/>
      <c r="J114" s="3"/>
      <c r="K114" s="3"/>
      <c r="L114" s="3"/>
    </row>
    <row r="115" spans="3:12" x14ac:dyDescent="0.3">
      <c r="C115" s="1"/>
      <c r="I115" s="3"/>
      <c r="J115" s="3"/>
      <c r="K115" s="3"/>
      <c r="L115" s="3"/>
    </row>
    <row r="116" spans="3:12" x14ac:dyDescent="0.3">
      <c r="C116" s="1"/>
      <c r="I116" s="3"/>
      <c r="J116" s="3"/>
      <c r="K116" s="3"/>
      <c r="L116" s="3"/>
    </row>
    <row r="117" spans="3:12" x14ac:dyDescent="0.3">
      <c r="C117" s="1"/>
      <c r="I117" s="3"/>
      <c r="J117" s="3"/>
      <c r="K117" s="3"/>
      <c r="L117" s="3"/>
    </row>
    <row r="118" spans="3:12" x14ac:dyDescent="0.3">
      <c r="C118" s="1"/>
      <c r="I118" s="3"/>
      <c r="J118" s="3"/>
      <c r="K118" s="3"/>
      <c r="L118" s="3"/>
    </row>
    <row r="119" spans="3:12" x14ac:dyDescent="0.3">
      <c r="C119" s="1"/>
      <c r="I119" s="3"/>
      <c r="J119" s="3"/>
      <c r="K119" s="3"/>
      <c r="L119" s="3"/>
    </row>
    <row r="120" spans="3:12" x14ac:dyDescent="0.3">
      <c r="C120" s="1"/>
      <c r="I120" s="3"/>
      <c r="J120" s="3"/>
      <c r="K120" s="3"/>
      <c r="L120" s="3"/>
    </row>
    <row r="121" spans="3:12" x14ac:dyDescent="0.3">
      <c r="C121" s="1"/>
      <c r="I121" s="3"/>
      <c r="J121" s="3"/>
      <c r="K121" s="3"/>
      <c r="L121" s="3"/>
    </row>
    <row r="122" spans="3:12" x14ac:dyDescent="0.3">
      <c r="C122" s="1"/>
      <c r="I122" s="3"/>
      <c r="J122" s="3"/>
      <c r="K122" s="3"/>
      <c r="L122" s="3"/>
    </row>
    <row r="123" spans="3:12" x14ac:dyDescent="0.3">
      <c r="C123" s="1"/>
      <c r="I123" s="3"/>
      <c r="J123" s="3"/>
      <c r="K123" s="3"/>
      <c r="L123" s="3"/>
    </row>
    <row r="124" spans="3:12" x14ac:dyDescent="0.3">
      <c r="C124" s="1"/>
      <c r="I124" s="3"/>
      <c r="J124" s="3"/>
      <c r="K124" s="3"/>
      <c r="L124" s="3"/>
    </row>
    <row r="125" spans="3:12" x14ac:dyDescent="0.3">
      <c r="C125" s="1"/>
      <c r="I125" s="3"/>
      <c r="J125" s="3"/>
      <c r="K125" s="3"/>
      <c r="L125" s="3"/>
    </row>
    <row r="126" spans="3:12" x14ac:dyDescent="0.3">
      <c r="C126" s="1"/>
      <c r="I126" s="3"/>
      <c r="J126" s="3"/>
      <c r="K126" s="3"/>
      <c r="L126" s="3"/>
    </row>
    <row r="127" spans="3:12" x14ac:dyDescent="0.3">
      <c r="C127" s="1"/>
      <c r="I127" s="3"/>
      <c r="J127" s="3"/>
      <c r="K127" s="3"/>
      <c r="L127" s="3"/>
    </row>
    <row r="128" spans="3:12" x14ac:dyDescent="0.3">
      <c r="C128" s="1"/>
      <c r="I128" s="3"/>
      <c r="J128" s="3"/>
      <c r="K128" s="3"/>
      <c r="L128" s="3"/>
    </row>
    <row r="129" spans="3:12" x14ac:dyDescent="0.3">
      <c r="C129" s="1"/>
      <c r="I129" s="3"/>
      <c r="J129" s="3"/>
      <c r="K129" s="3"/>
      <c r="L129" s="3"/>
    </row>
    <row r="130" spans="3:12" x14ac:dyDescent="0.3">
      <c r="C130" s="1"/>
      <c r="I130" s="3"/>
      <c r="J130" s="3"/>
      <c r="K130" s="3"/>
      <c r="L130" s="3"/>
    </row>
    <row r="131" spans="3:12" x14ac:dyDescent="0.3">
      <c r="C131" s="1"/>
      <c r="I131" s="3"/>
      <c r="J131" s="3"/>
      <c r="K131" s="3"/>
      <c r="L131" s="3"/>
    </row>
    <row r="132" spans="3:12" x14ac:dyDescent="0.3">
      <c r="C132" s="1"/>
      <c r="I132" s="3"/>
      <c r="J132" s="3"/>
      <c r="K132" s="3"/>
      <c r="L132" s="3"/>
    </row>
    <row r="133" spans="3:12" x14ac:dyDescent="0.3">
      <c r="C133" s="1"/>
      <c r="I133" s="3"/>
      <c r="J133" s="3"/>
      <c r="K133" s="3"/>
      <c r="L133" s="3"/>
    </row>
    <row r="134" spans="3:12" x14ac:dyDescent="0.3">
      <c r="C134" s="1"/>
      <c r="I134" s="3"/>
      <c r="J134" s="3"/>
      <c r="K134" s="3"/>
      <c r="L134" s="3"/>
    </row>
    <row r="135" spans="3:12" x14ac:dyDescent="0.3">
      <c r="C135" s="1"/>
      <c r="I135" s="3"/>
      <c r="J135" s="3"/>
      <c r="K135" s="3"/>
      <c r="L135" s="3"/>
    </row>
    <row r="136" spans="3:12" x14ac:dyDescent="0.3">
      <c r="C136" s="1"/>
      <c r="I136" s="3"/>
      <c r="J136" s="3"/>
      <c r="K136" s="3"/>
      <c r="L136" s="3"/>
    </row>
    <row r="137" spans="3:12" x14ac:dyDescent="0.3">
      <c r="C137" s="1"/>
      <c r="I137" s="3"/>
      <c r="J137" s="3"/>
      <c r="K137" s="3"/>
      <c r="L137" s="3"/>
    </row>
    <row r="138" spans="3:12" x14ac:dyDescent="0.3">
      <c r="C138" s="1"/>
      <c r="I138" s="3"/>
      <c r="J138" s="3"/>
      <c r="K138" s="3"/>
      <c r="L138" s="3"/>
    </row>
    <row r="139" spans="3:12" x14ac:dyDescent="0.3">
      <c r="C139" s="1"/>
      <c r="I139" s="3"/>
      <c r="J139" s="3"/>
      <c r="K139" s="3"/>
      <c r="L139" s="3"/>
    </row>
    <row r="140" spans="3:12" x14ac:dyDescent="0.3">
      <c r="C140" s="1"/>
      <c r="I140" s="3"/>
      <c r="J140" s="3"/>
      <c r="K140" s="3"/>
      <c r="L140" s="3"/>
    </row>
    <row r="141" spans="3:12" x14ac:dyDescent="0.3">
      <c r="C141" s="1"/>
      <c r="I141" s="3"/>
      <c r="J141" s="3"/>
      <c r="K141" s="3"/>
      <c r="L141" s="3"/>
    </row>
    <row r="142" spans="3:12" x14ac:dyDescent="0.3">
      <c r="C142" s="1"/>
      <c r="I142" s="3"/>
      <c r="J142" s="3"/>
      <c r="K142" s="3"/>
      <c r="L142" s="3"/>
    </row>
    <row r="143" spans="3:12" x14ac:dyDescent="0.3">
      <c r="C143" s="1"/>
      <c r="I143" s="3"/>
      <c r="J143" s="3"/>
      <c r="K143" s="3"/>
      <c r="L143" s="3"/>
    </row>
    <row r="144" spans="3:12" x14ac:dyDescent="0.3">
      <c r="C144" s="1"/>
      <c r="I144" s="3"/>
      <c r="J144" s="3"/>
      <c r="K144" s="3"/>
      <c r="L144" s="3"/>
    </row>
  </sheetData>
  <hyperlinks>
    <hyperlink ref="A5" r:id="rId1" xr:uid="{1909B325-2355-43C0-AD3E-F404DD10796F}"/>
    <hyperlink ref="A29" r:id="rId2" xr:uid="{4F33D8A3-FC8C-487D-B3B2-ACD76535A27A}"/>
    <hyperlink ref="A6" r:id="rId3" xr:uid="{2C3323D7-F298-4D56-8B3D-12868E6BE4F0}"/>
    <hyperlink ref="A7" r:id="rId4" xr:uid="{9A541923-C1EF-4409-808C-44451BD4F1E6}"/>
    <hyperlink ref="A8" r:id="rId5" xr:uid="{2C4152A1-FF20-491A-B554-4C4055441080}"/>
    <hyperlink ref="A9" r:id="rId6" xr:uid="{2F45DBE3-DCCF-4F5D-BE62-862E1342F583}"/>
    <hyperlink ref="A10" r:id="rId7" xr:uid="{1A0899B1-4EB8-44C8-88AB-1E90E4DE03D8}"/>
    <hyperlink ref="A11" r:id="rId8" xr:uid="{6E49AE9B-C751-4E8C-834B-C93606A3E3CD}"/>
    <hyperlink ref="A12" r:id="rId9" xr:uid="{D4D27845-D720-4256-9CCA-9BEF78FBAF7E}"/>
    <hyperlink ref="A37" r:id="rId10" xr:uid="{22428378-1EF0-434B-AADE-FF3312D6DC57}"/>
    <hyperlink ref="A38" r:id="rId11" xr:uid="{EA6050BD-B3EF-47BD-B581-F50663AA00F9}"/>
    <hyperlink ref="A39" r:id="rId12" xr:uid="{555F501B-3030-4465-9C7F-2CE6A8129DAA}"/>
    <hyperlink ref="A42" r:id="rId13" xr:uid="{9BA9E06F-572A-4193-A410-C339B8B1E4F2}"/>
    <hyperlink ref="A44" r:id="rId14" xr:uid="{97F4FD45-5790-4B68-81E2-2F8CFBB6014A}"/>
    <hyperlink ref="A41" r:id="rId15" xr:uid="{6B262DBA-41B4-4AC6-9BA4-C05AF512B79D}"/>
    <hyperlink ref="A43" r:id="rId16" xr:uid="{318383A4-F55C-4958-9FE5-4B5D359B6D84}"/>
    <hyperlink ref="A45" r:id="rId17" xr:uid="{B7BE4960-9BFC-4E22-B638-03BF6B945D8D}"/>
    <hyperlink ref="A46" r:id="rId18" xr:uid="{D1496ACD-DFC0-45EC-A047-BCD091F5F1B1}"/>
    <hyperlink ref="A47" r:id="rId19" xr:uid="{01A66F01-3967-4474-9D35-A691A09E84D5}"/>
    <hyperlink ref="A48" r:id="rId20" xr:uid="{2042D1BB-B67E-4BA9-B751-0541230A1937}"/>
    <hyperlink ref="A49" r:id="rId21" xr:uid="{DD2A27E1-3572-4F81-81FD-2C5265721F21}"/>
    <hyperlink ref="A50" r:id="rId22" xr:uid="{851CDC40-C308-482A-835C-D1499CE46FB2}"/>
    <hyperlink ref="A51" r:id="rId23" xr:uid="{785BB2AD-260F-4820-A4E4-42FD2D716FB3}"/>
    <hyperlink ref="A52" r:id="rId24" xr:uid="{E46D849C-9CAE-4189-BB86-26DCD907604C}"/>
    <hyperlink ref="A55" r:id="rId25" xr:uid="{14D8F809-F21B-45E3-AED3-F6264CFE2C76}"/>
    <hyperlink ref="A56" r:id="rId26" xr:uid="{8DD87B9F-A229-47BD-908E-1A223D2C5E7C}"/>
    <hyperlink ref="A57" r:id="rId27" xr:uid="{62199558-4A98-4A80-AE3A-CEA1C5EA273E}"/>
    <hyperlink ref="A58" r:id="rId28" xr:uid="{A78F5A68-94C5-4A9D-852E-85C836FADAC0}"/>
    <hyperlink ref="A59" r:id="rId29" xr:uid="{CF3936E4-6428-4EDE-BE61-83F3099045E7}"/>
    <hyperlink ref="A60" r:id="rId30" xr:uid="{DEBBE501-7E6E-4621-9CD1-7E54083B9279}"/>
    <hyperlink ref="A61" r:id="rId31" xr:uid="{F015EB8D-22AD-4095-89E2-FEB1EA469448}"/>
    <hyperlink ref="A62" r:id="rId32" xr:uid="{18835CB0-A7E4-4BA7-A2E5-86FED0F37309}"/>
    <hyperlink ref="A63" r:id="rId33" xr:uid="{F737830A-D9C3-4934-B3D4-470965E39A1B}"/>
    <hyperlink ref="A64" r:id="rId34" xr:uid="{CE7F801E-D53D-4A72-8D45-BF2624504BCD}"/>
    <hyperlink ref="A65" r:id="rId35" xr:uid="{16943D41-67B7-4E34-B052-0D4E95CD381E}"/>
    <hyperlink ref="A66" r:id="rId36" xr:uid="{F9448255-BB47-4692-9E88-ABEDAA551A0C}"/>
    <hyperlink ref="A68" r:id="rId37" xr:uid="{31F31A74-FD6F-45EC-B1B2-B2192E42FF23}"/>
    <hyperlink ref="A70" r:id="rId38" xr:uid="{A25813E2-719E-45B4-AD4A-A9643B49B19A}"/>
    <hyperlink ref="A71" r:id="rId39" xr:uid="{87AF342E-67B0-4228-9A62-7553BFEE615A}"/>
    <hyperlink ref="A72" r:id="rId40" xr:uid="{E51D7253-20B5-4E84-8477-91F6BF7D7BE1}"/>
    <hyperlink ref="A74" r:id="rId41" xr:uid="{B446BC70-8A75-4A86-BC21-18D13EEAFD29}"/>
    <hyperlink ref="A75" r:id="rId42" xr:uid="{FE248A14-4042-4B62-A92D-89CC1BE9C7CE}"/>
    <hyperlink ref="A76" r:id="rId43" xr:uid="{B39AF9E0-D9B5-4237-8567-572DC334A5C5}"/>
    <hyperlink ref="A73" r:id="rId44" xr:uid="{B093226B-D99D-4204-8940-27D81F188DB5}"/>
    <hyperlink ref="A69" r:id="rId45" xr:uid="{EF3821B0-E0CD-4B5E-B2A0-7E892257A3AB}"/>
    <hyperlink ref="A77" r:id="rId46" xr:uid="{49BB25F2-52FD-4CDC-8E29-FD44D5101FDB}"/>
    <hyperlink ref="A16" r:id="rId47" xr:uid="{9B5CF3F0-270D-4B07-925F-7DEB45A5DF45}"/>
    <hyperlink ref="A17" r:id="rId48" xr:uid="{A881A8CC-A447-49F1-BDCC-59AAC2037931}"/>
    <hyperlink ref="A18" r:id="rId49" xr:uid="{FDDCF2DD-A961-4987-84C2-EA49526AD6B1}"/>
    <hyperlink ref="A13" r:id="rId50" xr:uid="{6D0A7884-F3E7-4B72-A0EA-88B5631CE350}"/>
    <hyperlink ref="A14" r:id="rId51" xr:uid="{B8A1446C-782A-439E-9506-BE8BAA3E879E}"/>
    <hyperlink ref="A19" r:id="rId52" xr:uid="{C2D2E1CD-A506-4D85-A4E9-EDEA8636CDAB}"/>
    <hyperlink ref="A20" r:id="rId53" xr:uid="{26DAA9AC-D2EF-4A45-9677-0C4E10E9F3FE}"/>
    <hyperlink ref="A15" r:id="rId54" xr:uid="{5007F8D6-BAE2-462C-A4FC-338595E5F344}"/>
    <hyperlink ref="A21" r:id="rId55" xr:uid="{C3A16FF3-24CE-48FB-A4EA-054FBE103788}"/>
    <hyperlink ref="A22" r:id="rId56" xr:uid="{56DDC671-DF71-438A-9AAC-E8F8F9334A3A}"/>
    <hyperlink ref="A23" r:id="rId57" xr:uid="{4B9CAC07-F1CA-4FE9-9D7C-554534825A10}"/>
    <hyperlink ref="A24" r:id="rId58" xr:uid="{7E84D59C-4E34-4102-815A-D3275AFD209B}"/>
    <hyperlink ref="A25" r:id="rId59" xr:uid="{66D5582E-684F-4078-8742-D4500716128A}"/>
    <hyperlink ref="A26" r:id="rId60" xr:uid="{EE99C7AB-79CA-475A-B455-E54F496AB446}"/>
    <hyperlink ref="A27" r:id="rId61" xr:uid="{5DC544A3-FFA9-423B-9A15-49B4E76C9DC1}"/>
    <hyperlink ref="A28" r:id="rId62" xr:uid="{8F5DC106-E3ED-4B58-8401-53756673E0A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9757-3FEA-4224-A390-3546B73751DB}">
  <dimension ref="A1:V63"/>
  <sheetViews>
    <sheetView tabSelected="1" topLeftCell="A45" zoomScale="85" zoomScaleNormal="85" workbookViewId="0">
      <selection activeCell="C37" sqref="A4:K61"/>
    </sheetView>
  </sheetViews>
  <sheetFormatPr defaultRowHeight="14.4" x14ac:dyDescent="0.3"/>
  <cols>
    <col min="1" max="1" width="15.88671875" customWidth="1"/>
    <col min="3" max="3" width="40.5546875" customWidth="1"/>
    <col min="5" max="5" width="12.33203125" customWidth="1"/>
    <col min="6" max="6" width="34.44140625" hidden="1" customWidth="1"/>
    <col min="7" max="7" width="12.33203125" customWidth="1"/>
    <col min="8" max="8" width="22.44140625" customWidth="1"/>
    <col min="9" max="9" width="62.77734375" bestFit="1" customWidth="1"/>
    <col min="10" max="10" width="32.6640625" bestFit="1" customWidth="1"/>
    <col min="11" max="11" width="23.88671875" bestFit="1" customWidth="1"/>
    <col min="13" max="13" width="61.109375" bestFit="1" customWidth="1"/>
    <col min="14" max="14" width="13.77734375" bestFit="1" customWidth="1"/>
    <col min="15" max="15" width="10.5546875" bestFit="1" customWidth="1"/>
    <col min="16" max="16" width="17.109375" bestFit="1" customWidth="1"/>
    <col min="17" max="17" width="21.109375" bestFit="1" customWidth="1"/>
    <col min="18" max="18" width="15.88671875" bestFit="1" customWidth="1"/>
    <col min="19" max="19" width="32.5546875" bestFit="1" customWidth="1"/>
    <col min="20" max="20" width="152.109375" bestFit="1" customWidth="1"/>
    <col min="21" max="21" width="49.33203125" bestFit="1" customWidth="1"/>
    <col min="22" max="22" width="18.109375" bestFit="1" customWidth="1"/>
  </cols>
  <sheetData>
    <row r="1" spans="1:22" x14ac:dyDescent="0.3">
      <c r="B1" t="s">
        <v>0</v>
      </c>
      <c r="C1" t="s">
        <v>35</v>
      </c>
    </row>
    <row r="2" spans="1:22" x14ac:dyDescent="0.3">
      <c r="B2" t="s">
        <v>302</v>
      </c>
      <c r="C2" t="s">
        <v>34</v>
      </c>
      <c r="M2" s="5"/>
      <c r="N2" s="5"/>
      <c r="O2" s="5"/>
      <c r="P2" s="5"/>
      <c r="Q2" s="5"/>
      <c r="R2" s="5"/>
    </row>
    <row r="4" spans="1:22" s="6" customFormat="1" x14ac:dyDescent="0.3">
      <c r="A4" s="6" t="s">
        <v>303</v>
      </c>
      <c r="B4" s="6" t="s">
        <v>218</v>
      </c>
      <c r="C4" s="6" t="s">
        <v>304</v>
      </c>
      <c r="D4" s="6" t="s">
        <v>305</v>
      </c>
      <c r="E4" s="10" t="s">
        <v>306</v>
      </c>
      <c r="F4" s="6" t="s">
        <v>307</v>
      </c>
      <c r="G4" s="6" t="s">
        <v>307</v>
      </c>
      <c r="H4" s="2" t="s">
        <v>86</v>
      </c>
      <c r="I4" s="2" t="s">
        <v>87</v>
      </c>
      <c r="J4" s="2" t="s">
        <v>88</v>
      </c>
      <c r="K4" s="2" t="s">
        <v>89</v>
      </c>
      <c r="M4" s="7" t="s">
        <v>184</v>
      </c>
      <c r="N4" s="7" t="s">
        <v>185</v>
      </c>
      <c r="O4" s="7" t="s">
        <v>186</v>
      </c>
      <c r="P4" s="7" t="s">
        <v>187</v>
      </c>
      <c r="Q4" s="7" t="s">
        <v>188</v>
      </c>
      <c r="R4" s="7" t="s">
        <v>189</v>
      </c>
      <c r="S4" s="7" t="s">
        <v>190</v>
      </c>
      <c r="T4" s="7" t="s">
        <v>191</v>
      </c>
      <c r="U4" s="7" t="s">
        <v>192</v>
      </c>
      <c r="V4" s="7" t="s">
        <v>193</v>
      </c>
    </row>
    <row r="5" spans="1:22" x14ac:dyDescent="0.3">
      <c r="A5" s="8" t="s">
        <v>276</v>
      </c>
      <c r="B5">
        <v>1</v>
      </c>
      <c r="C5" s="1" t="s">
        <v>379</v>
      </c>
      <c r="D5">
        <v>1</v>
      </c>
      <c r="E5">
        <v>200</v>
      </c>
      <c r="F5" t="s">
        <v>74</v>
      </c>
      <c r="G5">
        <f>E5*D5</f>
        <v>200</v>
      </c>
      <c r="H5" s="3" t="str">
        <f t="shared" ref="H5:H19" si="0">IFERROR(_xlfn.TEXTBEFORE($F5,"-&gt;"),$F5)</f>
        <v>Enclosure_Box</v>
      </c>
      <c r="I5" s="3" t="str">
        <f t="shared" ref="I5:I19" si="1">IFERROR(_xlfn.LET(_xlpm.p,$F5,_xlpm.rem,_xlfn.TEXTAFTER(_xlpm.p,"-&gt;",1),IFERROR(_xlfn.TEXTBEFORE(_xlpm.rem,"-&gt;"),_xlpm.rem)),"")</f>
        <v/>
      </c>
      <c r="J5" s="3" t="str">
        <f t="shared" ref="J5:J19" si="2">IFERROR(_xlfn.LET(_xlpm.p,$F5,_xlpm.rem,_xlfn.TEXTAFTER(_xlpm.p,"-&gt;",2),IFERROR(_xlfn.TEXTBEFORE(_xlpm.rem,"-&gt;"),_xlpm.rem)),"")</f>
        <v/>
      </c>
      <c r="K5" s="3" t="str">
        <f t="shared" ref="K5:K19" si="3">IFERROR(_xlfn.LET(_xlpm.p,$F5,_xlpm.rem,_xlfn.TEXTAFTER(_xlpm.p,"-&gt;",3),IFERROR(_xlfn.TEXTBEFORE(_xlpm.rem,"-&gt;"),_xlpm.rem)),"")</f>
        <v/>
      </c>
      <c r="M5" t="s">
        <v>79</v>
      </c>
      <c r="N5" s="4">
        <v>18</v>
      </c>
      <c r="O5" s="4">
        <v>18</v>
      </c>
      <c r="P5">
        <v>1</v>
      </c>
      <c r="Q5">
        <v>6</v>
      </c>
      <c r="R5">
        <v>2</v>
      </c>
      <c r="S5" t="s">
        <v>194</v>
      </c>
      <c r="T5" t="s">
        <v>195</v>
      </c>
      <c r="U5" t="s">
        <v>196</v>
      </c>
      <c r="V5" t="s">
        <v>197</v>
      </c>
    </row>
    <row r="6" spans="1:22" x14ac:dyDescent="0.3">
      <c r="A6" s="8" t="s">
        <v>277</v>
      </c>
      <c r="B6">
        <v>2</v>
      </c>
      <c r="C6" s="1" t="s">
        <v>380</v>
      </c>
      <c r="D6">
        <v>1</v>
      </c>
      <c r="E6">
        <v>2</v>
      </c>
      <c r="F6" t="s">
        <v>129</v>
      </c>
      <c r="G6">
        <f t="shared" ref="G6:G46" si="4">E6*D6</f>
        <v>2</v>
      </c>
      <c r="H6" s="3" t="str">
        <f t="shared" si="0"/>
        <v>Enclosure_Box</v>
      </c>
      <c r="I6" s="3" t="str">
        <f t="shared" si="1"/>
        <v>Enclosure_Ground_Stud</v>
      </c>
      <c r="J6" s="3" t="str">
        <f t="shared" si="2"/>
        <v/>
      </c>
      <c r="K6" s="3" t="str">
        <f t="shared" si="3"/>
        <v/>
      </c>
      <c r="M6" t="s">
        <v>80</v>
      </c>
      <c r="N6" s="4">
        <v>18</v>
      </c>
      <c r="O6" s="4">
        <v>18</v>
      </c>
      <c r="P6">
        <v>1</v>
      </c>
      <c r="Q6">
        <v>6</v>
      </c>
      <c r="R6">
        <v>2</v>
      </c>
      <c r="S6" t="s">
        <v>194</v>
      </c>
      <c r="T6" t="s">
        <v>198</v>
      </c>
      <c r="U6" t="s">
        <v>199</v>
      </c>
      <c r="V6" t="s">
        <v>197</v>
      </c>
    </row>
    <row r="7" spans="1:22" x14ac:dyDescent="0.3">
      <c r="A7" s="8" t="s">
        <v>277</v>
      </c>
      <c r="B7">
        <v>3</v>
      </c>
      <c r="C7" s="1" t="s">
        <v>381</v>
      </c>
      <c r="D7">
        <v>1</v>
      </c>
      <c r="E7">
        <v>2</v>
      </c>
      <c r="F7" t="s">
        <v>130</v>
      </c>
      <c r="G7">
        <f t="shared" si="4"/>
        <v>2</v>
      </c>
      <c r="H7" s="3" t="str">
        <f t="shared" si="0"/>
        <v>Enclosure_Box</v>
      </c>
      <c r="I7" s="3" t="str">
        <f t="shared" si="1"/>
        <v>Mounting_Plate_Stud</v>
      </c>
      <c r="J7" s="3" t="str">
        <f t="shared" si="2"/>
        <v/>
      </c>
      <c r="K7" s="3" t="str">
        <f t="shared" si="3"/>
        <v/>
      </c>
      <c r="M7" t="s">
        <v>78</v>
      </c>
      <c r="N7" s="4">
        <v>18</v>
      </c>
      <c r="O7" s="4">
        <v>18</v>
      </c>
      <c r="P7">
        <v>1</v>
      </c>
      <c r="Q7">
        <v>6</v>
      </c>
      <c r="R7">
        <v>2</v>
      </c>
      <c r="S7" t="s">
        <v>194</v>
      </c>
      <c r="T7" t="s">
        <v>200</v>
      </c>
      <c r="U7" t="s">
        <v>201</v>
      </c>
      <c r="V7" t="s">
        <v>197</v>
      </c>
    </row>
    <row r="8" spans="1:22" x14ac:dyDescent="0.3">
      <c r="A8" s="8" t="s">
        <v>279</v>
      </c>
      <c r="B8">
        <v>14</v>
      </c>
      <c r="C8" s="1" t="s">
        <v>382</v>
      </c>
      <c r="D8">
        <v>1</v>
      </c>
      <c r="E8">
        <v>0.5</v>
      </c>
      <c r="F8" t="s">
        <v>131</v>
      </c>
      <c r="G8">
        <f t="shared" si="4"/>
        <v>0.5</v>
      </c>
      <c r="H8" s="3" t="str">
        <f t="shared" si="0"/>
        <v>Enclosure_Box</v>
      </c>
      <c r="I8" s="3" t="str">
        <f t="shared" si="1"/>
        <v>hex flange nut_am_B18.2.2.4M - Hex flange nut, M10 x 1.5, with 15 WAF --N</v>
      </c>
      <c r="J8" s="3" t="str">
        <f t="shared" si="2"/>
        <v/>
      </c>
      <c r="K8" s="3" t="str">
        <f t="shared" si="3"/>
        <v/>
      </c>
      <c r="M8" t="s">
        <v>82</v>
      </c>
      <c r="N8" s="4">
        <v>5</v>
      </c>
      <c r="O8" s="4">
        <v>5</v>
      </c>
      <c r="P8">
        <v>1</v>
      </c>
      <c r="Q8">
        <v>1</v>
      </c>
      <c r="R8">
        <v>5</v>
      </c>
      <c r="S8" t="s">
        <v>31</v>
      </c>
      <c r="T8" t="s">
        <v>203</v>
      </c>
      <c r="U8" t="s">
        <v>204</v>
      </c>
      <c r="V8" t="s">
        <v>205</v>
      </c>
    </row>
    <row r="9" spans="1:22" x14ac:dyDescent="0.3">
      <c r="A9" s="8" t="s">
        <v>277</v>
      </c>
      <c r="B9">
        <v>15</v>
      </c>
      <c r="C9" s="1" t="s">
        <v>381</v>
      </c>
      <c r="D9">
        <v>1</v>
      </c>
      <c r="E9">
        <v>2</v>
      </c>
      <c r="F9" t="s">
        <v>132</v>
      </c>
      <c r="G9">
        <f t="shared" si="4"/>
        <v>2</v>
      </c>
      <c r="H9" s="3" t="str">
        <f t="shared" si="0"/>
        <v>Enclosure_Box</v>
      </c>
      <c r="I9" s="3" t="str">
        <f t="shared" si="1"/>
        <v>Mounting_Plate_Stud:2</v>
      </c>
      <c r="J9" s="3" t="str">
        <f t="shared" si="2"/>
        <v/>
      </c>
      <c r="K9" s="3" t="str">
        <f t="shared" si="3"/>
        <v/>
      </c>
      <c r="M9" t="s">
        <v>76</v>
      </c>
      <c r="N9" s="4">
        <v>4</v>
      </c>
      <c r="O9" s="4">
        <v>4</v>
      </c>
      <c r="P9">
        <v>1</v>
      </c>
      <c r="Q9">
        <v>1</v>
      </c>
      <c r="R9">
        <v>4</v>
      </c>
      <c r="S9" t="s">
        <v>32</v>
      </c>
      <c r="T9" t="s">
        <v>206</v>
      </c>
      <c r="U9" t="s">
        <v>207</v>
      </c>
      <c r="V9" t="s">
        <v>205</v>
      </c>
    </row>
    <row r="10" spans="1:22" x14ac:dyDescent="0.3">
      <c r="A10" s="8" t="s">
        <v>279</v>
      </c>
      <c r="B10">
        <v>16</v>
      </c>
      <c r="C10" s="1" t="s">
        <v>382</v>
      </c>
      <c r="D10">
        <v>1</v>
      </c>
      <c r="E10">
        <v>0.5</v>
      </c>
      <c r="F10" t="s">
        <v>133</v>
      </c>
      <c r="G10">
        <f t="shared" si="4"/>
        <v>0.5</v>
      </c>
      <c r="H10" s="3" t="str">
        <f t="shared" si="0"/>
        <v>Enclosure_Box</v>
      </c>
      <c r="I10" s="3" t="str">
        <f t="shared" si="1"/>
        <v>hex flange nut_am_B18.2.2.4M - Hex flange nut, M10 x 1.5, with 15 WAF --N:4</v>
      </c>
      <c r="J10" s="3" t="str">
        <f t="shared" si="2"/>
        <v/>
      </c>
      <c r="K10" s="3" t="str">
        <f t="shared" si="3"/>
        <v/>
      </c>
      <c r="M10" t="s">
        <v>75</v>
      </c>
      <c r="N10" s="4">
        <v>4</v>
      </c>
      <c r="O10" s="4">
        <v>4</v>
      </c>
      <c r="P10">
        <v>1</v>
      </c>
      <c r="Q10">
        <v>1</v>
      </c>
      <c r="R10">
        <v>4</v>
      </c>
      <c r="S10" t="s">
        <v>33</v>
      </c>
      <c r="T10" t="s">
        <v>208</v>
      </c>
      <c r="U10" t="s">
        <v>209</v>
      </c>
      <c r="V10" t="s">
        <v>205</v>
      </c>
    </row>
    <row r="11" spans="1:22" x14ac:dyDescent="0.3">
      <c r="A11" s="8" t="s">
        <v>277</v>
      </c>
      <c r="B11">
        <v>17</v>
      </c>
      <c r="C11" s="1" t="s">
        <v>381</v>
      </c>
      <c r="D11">
        <v>1</v>
      </c>
      <c r="E11">
        <v>2</v>
      </c>
      <c r="F11" t="s">
        <v>134</v>
      </c>
      <c r="G11">
        <f t="shared" si="4"/>
        <v>2</v>
      </c>
      <c r="H11" s="3" t="str">
        <f t="shared" si="0"/>
        <v>Enclosure_Box</v>
      </c>
      <c r="I11" s="3" t="str">
        <f t="shared" si="1"/>
        <v>Mounting_Plate_Stud:3</v>
      </c>
      <c r="J11" s="3" t="str">
        <f t="shared" si="2"/>
        <v/>
      </c>
      <c r="K11" s="3" t="str">
        <f t="shared" si="3"/>
        <v/>
      </c>
      <c r="M11" t="s">
        <v>84</v>
      </c>
      <c r="N11" s="4">
        <v>4</v>
      </c>
      <c r="O11" s="4">
        <v>4</v>
      </c>
      <c r="P11">
        <v>1</v>
      </c>
      <c r="Q11">
        <v>2</v>
      </c>
      <c r="R11">
        <v>2</v>
      </c>
      <c r="S11" t="s">
        <v>210</v>
      </c>
      <c r="T11" t="s">
        <v>211</v>
      </c>
      <c r="U11" t="s">
        <v>212</v>
      </c>
      <c r="V11" t="s">
        <v>202</v>
      </c>
    </row>
    <row r="12" spans="1:22" x14ac:dyDescent="0.3">
      <c r="A12" s="8" t="s">
        <v>279</v>
      </c>
      <c r="B12">
        <v>18</v>
      </c>
      <c r="C12" s="1" t="s">
        <v>382</v>
      </c>
      <c r="D12">
        <v>1</v>
      </c>
      <c r="E12">
        <v>0.5</v>
      </c>
      <c r="F12" t="s">
        <v>135</v>
      </c>
      <c r="G12">
        <f t="shared" si="4"/>
        <v>0.5</v>
      </c>
      <c r="H12" s="3" t="str">
        <f t="shared" si="0"/>
        <v>Enclosure_Box</v>
      </c>
      <c r="I12" s="3" t="str">
        <f t="shared" si="1"/>
        <v>hex flange nut_am_B18.2.2.4M - Hex flange nut, M10 x 1.5, with 15 WAF --N:5</v>
      </c>
      <c r="J12" s="3" t="str">
        <f t="shared" si="2"/>
        <v/>
      </c>
      <c r="K12" s="3" t="str">
        <f t="shared" si="3"/>
        <v/>
      </c>
      <c r="M12" t="s">
        <v>83</v>
      </c>
      <c r="N12" s="4">
        <v>4</v>
      </c>
      <c r="O12" s="4">
        <v>4</v>
      </c>
      <c r="P12">
        <v>1</v>
      </c>
      <c r="Q12">
        <v>4</v>
      </c>
      <c r="R12">
        <v>1</v>
      </c>
      <c r="S12" t="s">
        <v>213</v>
      </c>
      <c r="T12" t="s">
        <v>160</v>
      </c>
      <c r="U12" t="s">
        <v>214</v>
      </c>
      <c r="V12" t="s">
        <v>197</v>
      </c>
    </row>
    <row r="13" spans="1:22" x14ac:dyDescent="0.3">
      <c r="A13" s="8" t="s">
        <v>277</v>
      </c>
      <c r="B13">
        <v>19</v>
      </c>
      <c r="C13" s="1" t="s">
        <v>381</v>
      </c>
      <c r="D13">
        <v>1</v>
      </c>
      <c r="E13">
        <v>2</v>
      </c>
      <c r="F13" t="s">
        <v>136</v>
      </c>
      <c r="G13">
        <f t="shared" si="4"/>
        <v>2</v>
      </c>
      <c r="H13" s="3" t="str">
        <f t="shared" si="0"/>
        <v>Enclosure_Box</v>
      </c>
      <c r="I13" s="3" t="str">
        <f t="shared" si="1"/>
        <v>Mounting_Plate_Stud:4</v>
      </c>
      <c r="J13" s="3" t="str">
        <f t="shared" si="2"/>
        <v/>
      </c>
      <c r="K13" s="3" t="str">
        <f t="shared" si="3"/>
        <v/>
      </c>
      <c r="M13" t="s">
        <v>81</v>
      </c>
      <c r="N13" s="4">
        <v>4</v>
      </c>
      <c r="O13" s="4">
        <v>4</v>
      </c>
      <c r="P13">
        <v>1</v>
      </c>
      <c r="Q13">
        <v>4</v>
      </c>
      <c r="R13">
        <v>1</v>
      </c>
      <c r="S13" t="s">
        <v>215</v>
      </c>
      <c r="T13" t="s">
        <v>153</v>
      </c>
      <c r="U13" t="s">
        <v>216</v>
      </c>
      <c r="V13" t="s">
        <v>197</v>
      </c>
    </row>
    <row r="14" spans="1:22" x14ac:dyDescent="0.3">
      <c r="A14" s="8" t="s">
        <v>279</v>
      </c>
      <c r="B14">
        <v>20</v>
      </c>
      <c r="C14" s="1" t="s">
        <v>382</v>
      </c>
      <c r="D14">
        <v>1</v>
      </c>
      <c r="E14">
        <v>0.5</v>
      </c>
      <c r="F14" t="s">
        <v>137</v>
      </c>
      <c r="G14">
        <f t="shared" si="4"/>
        <v>0.5</v>
      </c>
      <c r="H14" s="3" t="str">
        <f t="shared" si="0"/>
        <v>Enclosure_Box</v>
      </c>
      <c r="I14" s="3" t="str">
        <f t="shared" si="1"/>
        <v>hex flange nut_am_B18.2.2.4M - Hex flange nut, M10 x 1.5, with 15 WAF --N:6</v>
      </c>
      <c r="J14" s="3" t="str">
        <f t="shared" si="2"/>
        <v/>
      </c>
      <c r="K14" s="3" t="str">
        <f t="shared" si="3"/>
        <v/>
      </c>
      <c r="M14" t="s">
        <v>85</v>
      </c>
      <c r="N14" s="4">
        <v>2</v>
      </c>
      <c r="O14" s="4">
        <v>2</v>
      </c>
      <c r="P14">
        <v>1</v>
      </c>
      <c r="Q14">
        <v>1</v>
      </c>
      <c r="R14">
        <v>1</v>
      </c>
      <c r="S14" t="s">
        <v>30</v>
      </c>
      <c r="T14" t="s">
        <v>181</v>
      </c>
      <c r="U14" t="s">
        <v>217</v>
      </c>
      <c r="V14" t="s">
        <v>205</v>
      </c>
    </row>
    <row r="15" spans="1:22" x14ac:dyDescent="0.3">
      <c r="A15" s="8" t="s">
        <v>280</v>
      </c>
      <c r="B15">
        <v>30</v>
      </c>
      <c r="C15" s="1" t="s">
        <v>383</v>
      </c>
      <c r="D15">
        <v>1</v>
      </c>
      <c r="E15">
        <v>80</v>
      </c>
      <c r="F15" t="s">
        <v>77</v>
      </c>
      <c r="G15">
        <f t="shared" si="4"/>
        <v>80</v>
      </c>
      <c r="H15" s="3" t="str">
        <f t="shared" si="0"/>
        <v>Enclosure Mounting Plate</v>
      </c>
      <c r="I15" s="3" t="str">
        <f t="shared" si="1"/>
        <v/>
      </c>
      <c r="J15" s="3" t="str">
        <f t="shared" si="2"/>
        <v/>
      </c>
      <c r="K15" s="3" t="str">
        <f t="shared" si="3"/>
        <v/>
      </c>
    </row>
    <row r="16" spans="1:22" x14ac:dyDescent="0.3">
      <c r="A16" s="8" t="s">
        <v>281</v>
      </c>
      <c r="B16">
        <v>31</v>
      </c>
      <c r="C16" s="1" t="s">
        <v>384</v>
      </c>
      <c r="D16">
        <v>11</v>
      </c>
      <c r="E16">
        <v>15</v>
      </c>
      <c r="F16" t="s">
        <v>138</v>
      </c>
      <c r="G16">
        <f t="shared" si="4"/>
        <v>165</v>
      </c>
      <c r="H16" s="3" t="str">
        <f t="shared" si="0"/>
        <v>Electronic Components</v>
      </c>
      <c r="I16" s="3" t="str">
        <f t="shared" si="1"/>
        <v>Red E-Stop Switch</v>
      </c>
      <c r="J16" s="3" t="str">
        <f t="shared" si="2"/>
        <v/>
      </c>
      <c r="K16" s="3" t="str">
        <f t="shared" si="3"/>
        <v/>
      </c>
    </row>
    <row r="17" spans="1:11" x14ac:dyDescent="0.3">
      <c r="A17" s="8" t="s">
        <v>282</v>
      </c>
      <c r="B17">
        <v>32</v>
      </c>
      <c r="C17" s="1" t="s">
        <v>385</v>
      </c>
      <c r="D17">
        <v>9</v>
      </c>
      <c r="E17">
        <v>5</v>
      </c>
      <c r="F17" t="s">
        <v>139</v>
      </c>
      <c r="G17">
        <f t="shared" si="4"/>
        <v>45</v>
      </c>
      <c r="H17" s="3" t="str">
        <f t="shared" si="0"/>
        <v>Electronic Components</v>
      </c>
      <c r="I17" s="3" t="str">
        <f t="shared" si="1"/>
        <v>Red E-Stop Switch</v>
      </c>
      <c r="J17" s="3" t="str">
        <f t="shared" si="2"/>
        <v>Switch Module (2)</v>
      </c>
      <c r="K17" s="3" t="str">
        <f t="shared" si="3"/>
        <v/>
      </c>
    </row>
    <row r="18" spans="1:11" x14ac:dyDescent="0.3">
      <c r="A18" s="8" t="s">
        <v>282</v>
      </c>
      <c r="B18">
        <v>33</v>
      </c>
      <c r="C18" s="1" t="s">
        <v>385</v>
      </c>
      <c r="D18">
        <v>9</v>
      </c>
      <c r="E18">
        <v>5</v>
      </c>
      <c r="F18" t="s">
        <v>140</v>
      </c>
      <c r="G18">
        <f t="shared" si="4"/>
        <v>45</v>
      </c>
      <c r="H18" s="3" t="str">
        <f t="shared" si="0"/>
        <v>Electronic Components</v>
      </c>
      <c r="I18" s="3" t="str">
        <f t="shared" si="1"/>
        <v>Red E-Stop Switch</v>
      </c>
      <c r="J18" s="3" t="str">
        <f t="shared" si="2"/>
        <v>Switch Module (2):2</v>
      </c>
      <c r="K18" s="3" t="str">
        <f t="shared" si="3"/>
        <v/>
      </c>
    </row>
    <row r="19" spans="1:11" x14ac:dyDescent="0.3">
      <c r="A19" s="8" t="s">
        <v>283</v>
      </c>
      <c r="B19">
        <v>34</v>
      </c>
      <c r="C19" s="1" t="s">
        <v>386</v>
      </c>
      <c r="D19">
        <v>10</v>
      </c>
      <c r="E19">
        <v>15</v>
      </c>
      <c r="F19" t="s">
        <v>141</v>
      </c>
      <c r="G19">
        <f t="shared" si="4"/>
        <v>150</v>
      </c>
      <c r="H19" s="3" t="str">
        <f t="shared" si="0"/>
        <v>Electronic Components</v>
      </c>
      <c r="I19" s="3" t="str">
        <f t="shared" si="1"/>
        <v>Red Stop Switch</v>
      </c>
      <c r="J19" s="3" t="str">
        <f t="shared" si="2"/>
        <v/>
      </c>
      <c r="K19" s="3" t="str">
        <f t="shared" si="3"/>
        <v/>
      </c>
    </row>
    <row r="20" spans="1:11" x14ac:dyDescent="0.3">
      <c r="A20" s="8" t="s">
        <v>282</v>
      </c>
      <c r="B20">
        <v>35</v>
      </c>
      <c r="C20" s="1" t="s">
        <v>387</v>
      </c>
      <c r="D20">
        <v>9</v>
      </c>
      <c r="E20">
        <v>5</v>
      </c>
      <c r="F20" t="s">
        <v>142</v>
      </c>
      <c r="G20">
        <f t="shared" si="4"/>
        <v>45</v>
      </c>
      <c r="H20" s="3" t="str">
        <f t="shared" ref="H20:H25" si="5">IFERROR(_xlfn.TEXTBEFORE($F20,"-&gt;"),$F20)</f>
        <v>Electronic Components</v>
      </c>
      <c r="I20" s="3" t="str">
        <f t="shared" ref="I20:I25" si="6">IFERROR(_xlfn.LET(_xlpm.p,$F20,_xlpm.rem,_xlfn.TEXTAFTER(_xlpm.p,"-&gt;",1),IFERROR(_xlfn.TEXTBEFORE(_xlpm.rem,"-&gt;"),_xlpm.rem)),"")</f>
        <v>Red Stop Switch</v>
      </c>
      <c r="J20" s="3" t="str">
        <f t="shared" ref="J20:J25" si="7">IFERROR(_xlfn.LET(_xlpm.p,$F20,_xlpm.rem,_xlfn.TEXTAFTER(_xlpm.p,"-&gt;",2),IFERROR(_xlfn.TEXTBEFORE(_xlpm.rem,"-&gt;"),_xlpm.rem)),"")</f>
        <v>Switch Module</v>
      </c>
      <c r="K20" s="3" t="str">
        <f t="shared" ref="K20:K25" si="8">IFERROR(_xlfn.LET(_xlpm.p,$F20,_xlpm.rem,_xlfn.TEXTAFTER(_xlpm.p,"-&gt;",3),IFERROR(_xlfn.TEXTBEFORE(_xlpm.rem,"-&gt;"),_xlpm.rem)),"")</f>
        <v/>
      </c>
    </row>
    <row r="21" spans="1:11" x14ac:dyDescent="0.3">
      <c r="A21" s="8" t="s">
        <v>284</v>
      </c>
      <c r="B21">
        <v>36</v>
      </c>
      <c r="C21" s="1" t="s">
        <v>388</v>
      </c>
      <c r="D21">
        <v>11</v>
      </c>
      <c r="E21">
        <v>8</v>
      </c>
      <c r="F21" t="s">
        <v>143</v>
      </c>
      <c r="G21">
        <f t="shared" si="4"/>
        <v>88</v>
      </c>
      <c r="H21" s="3" t="str">
        <f t="shared" si="5"/>
        <v>Electronic Components</v>
      </c>
      <c r="I21" s="3" t="str">
        <f t="shared" si="6"/>
        <v>Red Stop Switch</v>
      </c>
      <c r="J21" s="3" t="str">
        <f t="shared" si="7"/>
        <v>Switch Light Contact</v>
      </c>
      <c r="K21" s="3" t="str">
        <f t="shared" si="8"/>
        <v/>
      </c>
    </row>
    <row r="22" spans="1:11" x14ac:dyDescent="0.3">
      <c r="A22" s="8" t="s">
        <v>285</v>
      </c>
      <c r="B22">
        <v>37</v>
      </c>
      <c r="C22" s="1" t="s">
        <v>387</v>
      </c>
      <c r="D22">
        <v>9</v>
      </c>
      <c r="E22">
        <v>5</v>
      </c>
      <c r="F22" t="s">
        <v>144</v>
      </c>
      <c r="G22">
        <f t="shared" si="4"/>
        <v>45</v>
      </c>
      <c r="H22" s="3" t="str">
        <f t="shared" si="5"/>
        <v>Electronic Components</v>
      </c>
      <c r="I22" s="3" t="str">
        <f t="shared" si="6"/>
        <v>Red Stop Switch</v>
      </c>
      <c r="J22" s="3" t="str">
        <f t="shared" si="7"/>
        <v>Switch Module:2</v>
      </c>
      <c r="K22" s="3" t="str">
        <f t="shared" si="8"/>
        <v/>
      </c>
    </row>
    <row r="23" spans="1:11" x14ac:dyDescent="0.3">
      <c r="A23" s="8" t="s">
        <v>286</v>
      </c>
      <c r="B23">
        <v>38</v>
      </c>
      <c r="C23" s="1" t="s">
        <v>389</v>
      </c>
      <c r="D23">
        <v>10</v>
      </c>
      <c r="E23">
        <v>15</v>
      </c>
      <c r="F23" t="s">
        <v>145</v>
      </c>
      <c r="G23">
        <f t="shared" si="4"/>
        <v>150</v>
      </c>
      <c r="H23" s="3" t="str">
        <f t="shared" si="5"/>
        <v>Electronic Components</v>
      </c>
      <c r="I23" s="3" t="str">
        <f t="shared" si="6"/>
        <v>Green Start Switch</v>
      </c>
      <c r="J23" s="3" t="str">
        <f t="shared" si="7"/>
        <v/>
      </c>
      <c r="K23" s="3" t="str">
        <f t="shared" si="8"/>
        <v/>
      </c>
    </row>
    <row r="24" spans="1:11" x14ac:dyDescent="0.3">
      <c r="A24" s="8" t="s">
        <v>285</v>
      </c>
      <c r="B24">
        <v>39</v>
      </c>
      <c r="C24" s="1" t="s">
        <v>390</v>
      </c>
      <c r="D24">
        <v>9</v>
      </c>
      <c r="E24">
        <v>5</v>
      </c>
      <c r="F24" t="s">
        <v>146</v>
      </c>
      <c r="G24">
        <f t="shared" si="4"/>
        <v>45</v>
      </c>
      <c r="H24" s="3" t="str">
        <f t="shared" si="5"/>
        <v>Electronic Components</v>
      </c>
      <c r="I24" s="3" t="str">
        <f t="shared" si="6"/>
        <v>Green Start Switch</v>
      </c>
      <c r="J24" s="3" t="str">
        <f t="shared" si="7"/>
        <v>Switch Module (1)</v>
      </c>
      <c r="K24" s="3" t="str">
        <f t="shared" si="8"/>
        <v/>
      </c>
    </row>
    <row r="25" spans="1:11" x14ac:dyDescent="0.3">
      <c r="A25" s="8" t="s">
        <v>284</v>
      </c>
      <c r="B25">
        <v>40</v>
      </c>
      <c r="C25" s="1" t="s">
        <v>388</v>
      </c>
      <c r="D25">
        <v>11</v>
      </c>
      <c r="E25">
        <v>8</v>
      </c>
      <c r="F25" t="s">
        <v>147</v>
      </c>
      <c r="G25">
        <f t="shared" si="4"/>
        <v>88</v>
      </c>
      <c r="H25" s="3" t="str">
        <f t="shared" si="5"/>
        <v>Electronic Components</v>
      </c>
      <c r="I25" s="3" t="str">
        <f t="shared" si="6"/>
        <v>Green Start Switch</v>
      </c>
      <c r="J25" s="3" t="str">
        <f t="shared" si="7"/>
        <v>Switch Light Contact (1)</v>
      </c>
      <c r="K25" s="3" t="str">
        <f t="shared" si="8"/>
        <v/>
      </c>
    </row>
    <row r="26" spans="1:11" x14ac:dyDescent="0.3">
      <c r="A26" s="8" t="s">
        <v>285</v>
      </c>
      <c r="B26">
        <v>41</v>
      </c>
      <c r="C26" s="1" t="s">
        <v>390</v>
      </c>
      <c r="D26">
        <v>9</v>
      </c>
      <c r="E26">
        <v>5</v>
      </c>
      <c r="F26" t="s">
        <v>148</v>
      </c>
      <c r="G26">
        <f t="shared" si="4"/>
        <v>45</v>
      </c>
      <c r="H26" s="3" t="str">
        <f t="shared" ref="H26:H35" si="9">IFERROR(_xlfn.TEXTBEFORE($F26,"-&gt;"),$F26)</f>
        <v>Electronic Components</v>
      </c>
      <c r="I26" s="3" t="str">
        <f t="shared" ref="I26:I35" si="10">IFERROR(_xlfn.LET(_xlpm.p,$F26,_xlpm.rem,_xlfn.TEXTAFTER(_xlpm.p,"-&gt;",1),IFERROR(_xlfn.TEXTBEFORE(_xlpm.rem,"-&gt;"),_xlpm.rem)),"")</f>
        <v>Green Start Switch</v>
      </c>
      <c r="J26" s="3" t="str">
        <f t="shared" ref="J26:J35" si="11">IFERROR(_xlfn.LET(_xlpm.p,$F26,_xlpm.rem,_xlfn.TEXTAFTER(_xlpm.p,"-&gt;",2),IFERROR(_xlfn.TEXTBEFORE(_xlpm.rem,"-&gt;"),_xlpm.rem)),"")</f>
        <v>Switch Module (1):2</v>
      </c>
      <c r="K26" s="3" t="str">
        <f t="shared" ref="K26:K35" si="12">IFERROR(_xlfn.LET(_xlpm.p,$F26,_xlpm.rem,_xlfn.TEXTAFTER(_xlpm.p,"-&gt;",3),IFERROR(_xlfn.TEXTBEFORE(_xlpm.rem,"-&gt;"),_xlpm.rem)),"")</f>
        <v/>
      </c>
    </row>
    <row r="27" spans="1:11" x14ac:dyDescent="0.3">
      <c r="A27" s="8" t="s">
        <v>287</v>
      </c>
      <c r="B27">
        <v>42</v>
      </c>
      <c r="C27" s="1" t="s">
        <v>391</v>
      </c>
      <c r="D27">
        <v>1</v>
      </c>
      <c r="E27">
        <v>480</v>
      </c>
      <c r="F27" t="s">
        <v>149</v>
      </c>
      <c r="G27">
        <f t="shared" si="4"/>
        <v>480</v>
      </c>
      <c r="H27" s="3" t="str">
        <f t="shared" si="9"/>
        <v>Electronic Components</v>
      </c>
      <c r="I27" s="3" t="str">
        <f t="shared" si="10"/>
        <v>HY VFD Controller</v>
      </c>
      <c r="J27" s="3" t="str">
        <f t="shared" si="11"/>
        <v/>
      </c>
      <c r="K27" s="3" t="str">
        <f t="shared" si="12"/>
        <v/>
      </c>
    </row>
    <row r="28" spans="1:11" x14ac:dyDescent="0.3">
      <c r="A28" s="8" t="s">
        <v>288</v>
      </c>
      <c r="B28">
        <v>43</v>
      </c>
      <c r="C28" s="1" t="s">
        <v>392</v>
      </c>
      <c r="D28">
        <v>1</v>
      </c>
      <c r="E28">
        <v>25</v>
      </c>
      <c r="F28" t="s">
        <v>150</v>
      </c>
      <c r="G28">
        <f t="shared" si="4"/>
        <v>25</v>
      </c>
      <c r="H28" s="3" t="str">
        <f t="shared" si="9"/>
        <v>Electronic Components</v>
      </c>
      <c r="I28" s="3" t="str">
        <f t="shared" si="10"/>
        <v>120mm Fan Filter</v>
      </c>
      <c r="J28" s="3" t="str">
        <f t="shared" si="11"/>
        <v/>
      </c>
      <c r="K28" s="3" t="str">
        <f t="shared" si="12"/>
        <v/>
      </c>
    </row>
    <row r="29" spans="1:11" x14ac:dyDescent="0.3">
      <c r="A29" s="8" t="s">
        <v>289</v>
      </c>
      <c r="B29">
        <v>44</v>
      </c>
      <c r="C29" s="1" t="s">
        <v>393</v>
      </c>
      <c r="D29">
        <v>2</v>
      </c>
      <c r="E29">
        <v>35</v>
      </c>
      <c r="F29" t="s">
        <v>151</v>
      </c>
      <c r="G29">
        <f t="shared" si="4"/>
        <v>70</v>
      </c>
      <c r="H29" s="3" t="str">
        <f t="shared" si="9"/>
        <v>Electronic Components</v>
      </c>
      <c r="I29" s="3" t="str">
        <f t="shared" si="10"/>
        <v>8774N18_DC Equipment-Cooling Fan</v>
      </c>
      <c r="J29" s="3" t="str">
        <f t="shared" si="11"/>
        <v/>
      </c>
      <c r="K29" s="3" t="str">
        <f t="shared" si="12"/>
        <v/>
      </c>
    </row>
    <row r="30" spans="1:11" x14ac:dyDescent="0.3">
      <c r="A30" s="8" t="s">
        <v>290</v>
      </c>
      <c r="B30">
        <v>45</v>
      </c>
      <c r="C30" s="1" t="s">
        <v>394</v>
      </c>
      <c r="D30">
        <v>1</v>
      </c>
      <c r="E30">
        <v>130</v>
      </c>
      <c r="F30" t="s">
        <v>152</v>
      </c>
      <c r="G30">
        <f t="shared" si="4"/>
        <v>130</v>
      </c>
      <c r="H30" s="3" t="str">
        <f t="shared" si="9"/>
        <v>Electronic Components</v>
      </c>
      <c r="I30" s="3" t="str">
        <f t="shared" si="10"/>
        <v>MW LRS-350-48 Power Supply</v>
      </c>
      <c r="J30" s="3" t="str">
        <f t="shared" si="11"/>
        <v/>
      </c>
      <c r="K30" s="3" t="str">
        <f t="shared" si="12"/>
        <v/>
      </c>
    </row>
    <row r="31" spans="1:11" x14ac:dyDescent="0.3">
      <c r="A31" s="8" t="s">
        <v>291</v>
      </c>
      <c r="B31">
        <v>46</v>
      </c>
      <c r="C31" s="1" t="s">
        <v>395</v>
      </c>
      <c r="D31">
        <v>4</v>
      </c>
      <c r="E31">
        <v>90</v>
      </c>
      <c r="F31" t="s">
        <v>153</v>
      </c>
      <c r="G31">
        <f t="shared" si="4"/>
        <v>360</v>
      </c>
      <c r="H31" s="3" t="str">
        <f t="shared" si="9"/>
        <v>Electronic Components</v>
      </c>
      <c r="I31" s="3" t="str">
        <f t="shared" si="10"/>
        <v>Mean Well LRS 150W 24V</v>
      </c>
      <c r="J31" s="3" t="str">
        <f t="shared" si="11"/>
        <v/>
      </c>
      <c r="K31" s="3" t="str">
        <f t="shared" si="12"/>
        <v/>
      </c>
    </row>
    <row r="32" spans="1:11" x14ac:dyDescent="0.3">
      <c r="A32" s="8" t="s">
        <v>292</v>
      </c>
      <c r="B32">
        <v>47</v>
      </c>
      <c r="C32" s="1" t="s">
        <v>396</v>
      </c>
      <c r="D32">
        <v>1</v>
      </c>
      <c r="E32">
        <v>80</v>
      </c>
      <c r="F32" t="s">
        <v>154</v>
      </c>
      <c r="G32">
        <f t="shared" si="4"/>
        <v>80</v>
      </c>
      <c r="H32" s="3" t="str">
        <f t="shared" si="9"/>
        <v>Electronic Components</v>
      </c>
      <c r="I32" s="3" t="str">
        <f t="shared" si="10"/>
        <v>Emi Filter Din Rail Mount</v>
      </c>
      <c r="J32" s="3" t="str">
        <f t="shared" si="11"/>
        <v/>
      </c>
      <c r="K32" s="3" t="str">
        <f t="shared" si="12"/>
        <v/>
      </c>
    </row>
    <row r="33" spans="1:11" x14ac:dyDescent="0.3">
      <c r="A33" s="8" t="s">
        <v>292</v>
      </c>
      <c r="B33">
        <v>48</v>
      </c>
      <c r="C33" s="1" t="s">
        <v>397</v>
      </c>
      <c r="D33">
        <v>1</v>
      </c>
      <c r="E33">
        <v>80</v>
      </c>
      <c r="F33" t="s">
        <v>155</v>
      </c>
      <c r="G33">
        <f t="shared" si="4"/>
        <v>80</v>
      </c>
      <c r="H33" s="3" t="str">
        <f t="shared" si="9"/>
        <v>Electronic Components</v>
      </c>
      <c r="I33" s="3" t="str">
        <f t="shared" si="10"/>
        <v>20A EMI Filter</v>
      </c>
      <c r="J33" s="3" t="str">
        <f t="shared" si="11"/>
        <v/>
      </c>
      <c r="K33" s="3" t="str">
        <f t="shared" si="12"/>
        <v/>
      </c>
    </row>
    <row r="34" spans="1:11" x14ac:dyDescent="0.3">
      <c r="A34" s="8" t="s">
        <v>293</v>
      </c>
      <c r="B34">
        <v>49</v>
      </c>
      <c r="C34" s="1" t="s">
        <v>398</v>
      </c>
      <c r="D34">
        <v>1</v>
      </c>
      <c r="E34">
        <v>15</v>
      </c>
      <c r="F34" t="s">
        <v>156</v>
      </c>
      <c r="G34">
        <f t="shared" si="4"/>
        <v>15</v>
      </c>
      <c r="H34" s="3" t="str">
        <f t="shared" si="9"/>
        <v>Electronic Components</v>
      </c>
      <c r="I34" s="3" t="str">
        <f t="shared" si="10"/>
        <v>7026K616_DIN-Rail Mount AC Equipment Circuit Breaker</v>
      </c>
      <c r="J34" s="3" t="str">
        <f t="shared" si="11"/>
        <v/>
      </c>
      <c r="K34" s="3" t="str">
        <f t="shared" si="12"/>
        <v/>
      </c>
    </row>
    <row r="35" spans="1:11" x14ac:dyDescent="0.3">
      <c r="A35" s="8" t="s">
        <v>294</v>
      </c>
      <c r="B35">
        <v>50</v>
      </c>
      <c r="C35" s="1" t="s">
        <v>399</v>
      </c>
      <c r="D35">
        <v>1</v>
      </c>
      <c r="E35">
        <v>100</v>
      </c>
      <c r="F35" t="s">
        <v>157</v>
      </c>
      <c r="G35">
        <f t="shared" si="4"/>
        <v>100</v>
      </c>
      <c r="H35" s="3" t="str">
        <f t="shared" si="9"/>
        <v>Electronic Components</v>
      </c>
      <c r="I35" s="3" t="str">
        <f t="shared" si="10"/>
        <v>lc1d32bl_1</v>
      </c>
      <c r="J35" s="3" t="str">
        <f t="shared" si="11"/>
        <v/>
      </c>
      <c r="K35" s="3" t="str">
        <f t="shared" si="12"/>
        <v/>
      </c>
    </row>
    <row r="36" spans="1:11" x14ac:dyDescent="0.3">
      <c r="A36" s="8" t="s">
        <v>289</v>
      </c>
      <c r="B36">
        <v>52</v>
      </c>
      <c r="C36" s="1" t="s">
        <v>416</v>
      </c>
      <c r="D36">
        <v>2</v>
      </c>
      <c r="E36">
        <v>35</v>
      </c>
      <c r="F36" t="s">
        <v>158</v>
      </c>
      <c r="G36">
        <f t="shared" si="4"/>
        <v>70</v>
      </c>
      <c r="H36" s="3" t="str">
        <f t="shared" ref="H36:H60" si="13">IFERROR(_xlfn.TEXTBEFORE($F36,"-&gt;"),$F36)</f>
        <v>Electronic Components</v>
      </c>
      <c r="I36" s="3" t="str">
        <f t="shared" ref="I36:I60" si="14">IFERROR(_xlfn.LET(_xlpm.p,$F36,_xlpm.rem,_xlfn.TEXTAFTER(_xlpm.p,"-&gt;",1),IFERROR(_xlfn.TEXTBEFORE(_xlpm.rem,"-&gt;"),_xlpm.rem)),"")</f>
        <v>8774N18_DC Equipment-Cooling Fan (1)</v>
      </c>
      <c r="J36" s="3" t="str">
        <f t="shared" ref="J36:J60" si="15">IFERROR(_xlfn.LET(_xlpm.p,$F36,_xlpm.rem,_xlfn.TEXTAFTER(_xlpm.p,"-&gt;",2),IFERROR(_xlfn.TEXTBEFORE(_xlpm.rem,"-&gt;"),_xlpm.rem)),"")</f>
        <v/>
      </c>
      <c r="K36" s="3" t="str">
        <f t="shared" ref="K36:K60" si="16">IFERROR(_xlfn.LET(_xlpm.p,$F36,_xlpm.rem,_xlfn.TEXTAFTER(_xlpm.p,"-&gt;",3),IFERROR(_xlfn.TEXTBEFORE(_xlpm.rem,"-&gt;"),_xlpm.rem)),"")</f>
        <v/>
      </c>
    </row>
    <row r="37" spans="1:11" x14ac:dyDescent="0.3">
      <c r="A37" s="8" t="s">
        <v>295</v>
      </c>
      <c r="B37">
        <v>53</v>
      </c>
      <c r="C37" s="1" t="s">
        <v>400</v>
      </c>
      <c r="D37">
        <v>4</v>
      </c>
      <c r="E37">
        <v>35</v>
      </c>
      <c r="F37" t="s">
        <v>159</v>
      </c>
      <c r="G37">
        <f t="shared" si="4"/>
        <v>140</v>
      </c>
      <c r="H37" s="3" t="str">
        <f t="shared" si="13"/>
        <v>Electronic Components</v>
      </c>
      <c r="I37" s="3" t="str">
        <f t="shared" si="14"/>
        <v>DM542T Driver:2</v>
      </c>
      <c r="J37" s="3" t="str">
        <f t="shared" si="15"/>
        <v/>
      </c>
      <c r="K37" s="3" t="str">
        <f t="shared" si="16"/>
        <v/>
      </c>
    </row>
    <row r="38" spans="1:11" x14ac:dyDescent="0.3">
      <c r="A38" s="8" t="s">
        <v>296</v>
      </c>
      <c r="B38">
        <v>60</v>
      </c>
      <c r="C38" s="1" t="s">
        <v>392</v>
      </c>
      <c r="D38">
        <v>1</v>
      </c>
      <c r="E38">
        <v>15</v>
      </c>
      <c r="F38" t="s">
        <v>161</v>
      </c>
      <c r="G38">
        <f t="shared" si="4"/>
        <v>15</v>
      </c>
      <c r="H38" s="3"/>
      <c r="I38" s="3"/>
      <c r="J38" s="3" t="str">
        <f t="shared" si="15"/>
        <v/>
      </c>
      <c r="K38" s="3" t="str">
        <f t="shared" si="16"/>
        <v/>
      </c>
    </row>
    <row r="39" spans="1:11" x14ac:dyDescent="0.3">
      <c r="A39" s="8" t="s">
        <v>378</v>
      </c>
      <c r="B39">
        <v>61</v>
      </c>
      <c r="C39" s="12" t="s">
        <v>401</v>
      </c>
      <c r="D39">
        <v>1</v>
      </c>
      <c r="E39">
        <v>421</v>
      </c>
      <c r="F39" t="s">
        <v>162</v>
      </c>
      <c r="G39">
        <f t="shared" si="4"/>
        <v>421</v>
      </c>
      <c r="H39" s="3"/>
      <c r="I39" s="3"/>
      <c r="J39" s="3" t="str">
        <f t="shared" si="15"/>
        <v/>
      </c>
      <c r="K39" s="3" t="str">
        <f t="shared" si="16"/>
        <v/>
      </c>
    </row>
    <row r="40" spans="1:11" x14ac:dyDescent="0.3">
      <c r="A40" s="8" t="s">
        <v>297</v>
      </c>
      <c r="B40">
        <v>62</v>
      </c>
      <c r="C40" s="1" t="s">
        <v>391</v>
      </c>
      <c r="D40">
        <v>2</v>
      </c>
      <c r="E40">
        <v>15</v>
      </c>
      <c r="F40" t="s">
        <v>163</v>
      </c>
      <c r="G40">
        <f t="shared" si="4"/>
        <v>30</v>
      </c>
      <c r="H40" s="3"/>
      <c r="I40" s="3"/>
      <c r="J40" s="3" t="str">
        <f t="shared" si="15"/>
        <v/>
      </c>
      <c r="K40" s="3" t="str">
        <f t="shared" si="16"/>
        <v/>
      </c>
    </row>
    <row r="41" spans="1:11" x14ac:dyDescent="0.3">
      <c r="A41" s="8" t="s">
        <v>297</v>
      </c>
      <c r="B41">
        <v>63</v>
      </c>
      <c r="C41" s="1" t="s">
        <v>402</v>
      </c>
      <c r="D41">
        <v>2</v>
      </c>
      <c r="E41">
        <v>15</v>
      </c>
      <c r="F41" t="s">
        <v>164</v>
      </c>
      <c r="G41">
        <f t="shared" si="4"/>
        <v>30</v>
      </c>
      <c r="H41" s="3"/>
      <c r="I41" s="3"/>
      <c r="J41" s="3" t="str">
        <f t="shared" si="15"/>
        <v/>
      </c>
      <c r="K41" s="3" t="str">
        <f t="shared" si="16"/>
        <v/>
      </c>
    </row>
    <row r="42" spans="1:11" x14ac:dyDescent="0.3">
      <c r="A42" s="8" t="s">
        <v>297</v>
      </c>
      <c r="B42">
        <v>64</v>
      </c>
      <c r="C42" s="1" t="s">
        <v>403</v>
      </c>
      <c r="D42">
        <v>2</v>
      </c>
      <c r="E42">
        <v>15</v>
      </c>
      <c r="F42" t="s">
        <v>165</v>
      </c>
      <c r="G42">
        <f t="shared" si="4"/>
        <v>30</v>
      </c>
      <c r="H42" s="3"/>
      <c r="I42" s="3"/>
      <c r="J42" s="3" t="str">
        <f t="shared" si="15"/>
        <v/>
      </c>
      <c r="K42" s="3" t="str">
        <f t="shared" si="16"/>
        <v/>
      </c>
    </row>
    <row r="43" spans="1:11" x14ac:dyDescent="0.3">
      <c r="A43" s="8" t="s">
        <v>297</v>
      </c>
      <c r="B43">
        <v>65</v>
      </c>
      <c r="C43" s="1" t="s">
        <v>404</v>
      </c>
      <c r="D43">
        <v>2</v>
      </c>
      <c r="E43">
        <v>15</v>
      </c>
      <c r="F43" t="s">
        <v>166</v>
      </c>
      <c r="G43">
        <f t="shared" si="4"/>
        <v>30</v>
      </c>
      <c r="H43" s="3"/>
      <c r="I43" s="3"/>
      <c r="J43" s="3" t="str">
        <f t="shared" si="15"/>
        <v/>
      </c>
      <c r="K43" s="3" t="str">
        <f t="shared" si="16"/>
        <v/>
      </c>
    </row>
    <row r="44" spans="1:11" x14ac:dyDescent="0.3">
      <c r="A44" s="8" t="s">
        <v>297</v>
      </c>
      <c r="B44">
        <v>66</v>
      </c>
      <c r="C44" s="1" t="s">
        <v>404</v>
      </c>
      <c r="D44">
        <v>2</v>
      </c>
      <c r="E44">
        <v>15</v>
      </c>
      <c r="F44" t="s">
        <v>167</v>
      </c>
      <c r="G44">
        <f t="shared" si="4"/>
        <v>30</v>
      </c>
      <c r="H44" s="3"/>
      <c r="I44" s="3"/>
      <c r="J44" s="3" t="str">
        <f t="shared" si="15"/>
        <v/>
      </c>
      <c r="K44" s="3" t="str">
        <f t="shared" si="16"/>
        <v/>
      </c>
    </row>
    <row r="45" spans="1:11" x14ac:dyDescent="0.3">
      <c r="A45" s="8" t="s">
        <v>297</v>
      </c>
      <c r="B45">
        <v>67</v>
      </c>
      <c r="C45" s="1" t="s">
        <v>404</v>
      </c>
      <c r="D45">
        <v>2</v>
      </c>
      <c r="E45">
        <v>15</v>
      </c>
      <c r="F45" t="s">
        <v>168</v>
      </c>
      <c r="G45">
        <f t="shared" si="4"/>
        <v>30</v>
      </c>
      <c r="H45" s="3"/>
      <c r="I45" s="3"/>
      <c r="J45" s="3" t="str">
        <f t="shared" si="15"/>
        <v/>
      </c>
      <c r="K45" s="3" t="str">
        <f t="shared" si="16"/>
        <v/>
      </c>
    </row>
    <row r="46" spans="1:11" x14ac:dyDescent="0.3">
      <c r="A46" s="8" t="s">
        <v>278</v>
      </c>
      <c r="B46">
        <v>68</v>
      </c>
      <c r="C46" s="1" t="s">
        <v>403</v>
      </c>
      <c r="D46">
        <v>1</v>
      </c>
      <c r="F46" t="s">
        <v>169</v>
      </c>
      <c r="H46" s="3" t="str">
        <f t="shared" si="13"/>
        <v>3d Printed Parts</v>
      </c>
      <c r="I46" s="3" t="str">
        <f t="shared" si="14"/>
        <v>XYZAB Terminals Cover</v>
      </c>
      <c r="J46" s="3" t="str">
        <f t="shared" si="15"/>
        <v/>
      </c>
      <c r="K46" s="3" t="str">
        <f t="shared" si="16"/>
        <v/>
      </c>
    </row>
    <row r="47" spans="1:11" x14ac:dyDescent="0.3">
      <c r="A47" s="8" t="s">
        <v>298</v>
      </c>
      <c r="B47">
        <v>69</v>
      </c>
      <c r="C47" s="1" t="s">
        <v>405</v>
      </c>
      <c r="D47">
        <v>1</v>
      </c>
      <c r="F47" t="s">
        <v>170</v>
      </c>
      <c r="H47" s="3" t="str">
        <f t="shared" si="13"/>
        <v>3d Printed Parts</v>
      </c>
      <c r="I47" s="3" t="str">
        <f t="shared" si="14"/>
        <v>AC Plate - 1 SW 1 Gland 1 Socket 5 Keystone</v>
      </c>
      <c r="J47" s="3" t="str">
        <f t="shared" si="15"/>
        <v>M20 Cable Gland</v>
      </c>
      <c r="K47" s="3" t="str">
        <f t="shared" si="16"/>
        <v>M20 Body (1) (1) (1)(Mirror)</v>
      </c>
    </row>
    <row r="48" spans="1:11" x14ac:dyDescent="0.3">
      <c r="A48" s="8" t="s">
        <v>298</v>
      </c>
      <c r="B48">
        <v>70</v>
      </c>
      <c r="C48" s="1" t="s">
        <v>404</v>
      </c>
      <c r="D48">
        <v>1</v>
      </c>
      <c r="F48" t="s">
        <v>171</v>
      </c>
      <c r="H48" s="3" t="str">
        <f t="shared" si="13"/>
        <v>3d Printed Parts</v>
      </c>
      <c r="I48" s="3" t="str">
        <f t="shared" si="14"/>
        <v>AC Plate - 1 SW 1 Gland 1 Socket 5 Keystone</v>
      </c>
      <c r="J48" s="3" t="str">
        <f t="shared" si="15"/>
        <v>M20 Cable Gland</v>
      </c>
      <c r="K48" s="3" t="str">
        <f t="shared" si="16"/>
        <v>M20 Nut (1) (1) (1)(Mirror)</v>
      </c>
    </row>
    <row r="49" spans="1:11" x14ac:dyDescent="0.3">
      <c r="A49" s="8" t="s">
        <v>298</v>
      </c>
      <c r="B49">
        <v>71</v>
      </c>
      <c r="C49" s="1" t="s">
        <v>406</v>
      </c>
      <c r="D49">
        <v>1</v>
      </c>
      <c r="F49" t="s">
        <v>172</v>
      </c>
      <c r="H49" s="3" t="str">
        <f t="shared" si="13"/>
        <v>3d Printed Parts</v>
      </c>
      <c r="I49" s="3" t="str">
        <f t="shared" si="14"/>
        <v>AC Plate - 1 SW 1 Gland 1 Socket 5 Keystone</v>
      </c>
      <c r="J49" s="3" t="str">
        <f t="shared" si="15"/>
        <v>M20 Cable Gland</v>
      </c>
      <c r="K49" s="3" t="str">
        <f t="shared" si="16"/>
        <v>M20 Lock Nut</v>
      </c>
    </row>
    <row r="50" spans="1:11" x14ac:dyDescent="0.3">
      <c r="A50" s="8" t="s">
        <v>299</v>
      </c>
      <c r="B50">
        <v>72</v>
      </c>
      <c r="C50" s="1" t="s">
        <v>407</v>
      </c>
      <c r="D50">
        <v>1</v>
      </c>
      <c r="F50" t="s">
        <v>173</v>
      </c>
      <c r="H50" s="3" t="str">
        <f t="shared" si="13"/>
        <v>3d Printed Parts</v>
      </c>
      <c r="I50" s="3" t="str">
        <f t="shared" si="14"/>
        <v>AC Plate - 1 SW 1 Gland 1 Socket 5 Keystone</v>
      </c>
      <c r="J50" s="3" t="str">
        <f t="shared" si="15"/>
        <v>2P Toggle Switch 16A 250V (2)(Mirror)</v>
      </c>
      <c r="K50" s="3" t="str">
        <f t="shared" si="16"/>
        <v/>
      </c>
    </row>
    <row r="51" spans="1:11" x14ac:dyDescent="0.3">
      <c r="A51" s="8" t="s">
        <v>300</v>
      </c>
      <c r="B51">
        <v>73</v>
      </c>
      <c r="C51" s="1" t="s">
        <v>408</v>
      </c>
      <c r="D51">
        <v>1</v>
      </c>
      <c r="F51" t="s">
        <v>174</v>
      </c>
      <c r="H51" s="3" t="str">
        <f t="shared" si="13"/>
        <v>3d Printed Parts</v>
      </c>
      <c r="I51" s="3" t="str">
        <f t="shared" si="14"/>
        <v>AC Plate - 1 SW 1 Gland 1 Socket 5 Keystone</v>
      </c>
      <c r="J51" s="3" t="str">
        <f t="shared" si="15"/>
        <v>C20 Socket</v>
      </c>
      <c r="K51" s="3" t="str">
        <f t="shared" si="16"/>
        <v/>
      </c>
    </row>
    <row r="52" spans="1:11" x14ac:dyDescent="0.3">
      <c r="A52" s="8" t="s">
        <v>278</v>
      </c>
      <c r="B52">
        <v>74</v>
      </c>
      <c r="C52" s="1" t="s">
        <v>409</v>
      </c>
      <c r="D52">
        <v>1</v>
      </c>
      <c r="F52" t="s">
        <v>175</v>
      </c>
      <c r="H52" s="3" t="str">
        <f t="shared" si="13"/>
        <v>3d Printed Parts</v>
      </c>
      <c r="I52" s="3" t="str">
        <f t="shared" si="14"/>
        <v>AC Plate - 1 SW 1 Gland 1 Socket 5 Keystone</v>
      </c>
      <c r="J52" s="3" t="str">
        <f t="shared" si="15"/>
        <v>AC Plate</v>
      </c>
      <c r="K52" s="3" t="str">
        <f t="shared" si="16"/>
        <v/>
      </c>
    </row>
    <row r="53" spans="1:11" x14ac:dyDescent="0.3">
      <c r="A53" s="8" t="s">
        <v>278</v>
      </c>
      <c r="B53">
        <v>75</v>
      </c>
      <c r="C53" s="1" t="s">
        <v>417</v>
      </c>
      <c r="D53">
        <v>1</v>
      </c>
      <c r="F53" t="s">
        <v>176</v>
      </c>
      <c r="H53" s="3" t="str">
        <f t="shared" si="13"/>
        <v>3d Printed Parts</v>
      </c>
      <c r="I53" s="3" t="str">
        <f t="shared" si="14"/>
        <v>VFD Display and Switches Plate</v>
      </c>
      <c r="J53" s="3" t="str">
        <f t="shared" si="15"/>
        <v/>
      </c>
      <c r="K53" s="3" t="str">
        <f t="shared" si="16"/>
        <v/>
      </c>
    </row>
    <row r="54" spans="1:11" x14ac:dyDescent="0.3">
      <c r="A54" s="8" t="s">
        <v>278</v>
      </c>
      <c r="B54">
        <v>76</v>
      </c>
      <c r="C54" s="1" t="s">
        <v>410</v>
      </c>
      <c r="D54">
        <v>1</v>
      </c>
      <c r="F54" t="s">
        <v>177</v>
      </c>
      <c r="H54" s="3" t="str">
        <f t="shared" si="13"/>
        <v>3d Printed Parts</v>
      </c>
      <c r="I54" s="3" t="str">
        <f t="shared" si="14"/>
        <v>Wago 4x 221-415 Mount</v>
      </c>
      <c r="J54" s="3" t="str">
        <f t="shared" si="15"/>
        <v/>
      </c>
      <c r="K54" s="3" t="str">
        <f t="shared" si="16"/>
        <v/>
      </c>
    </row>
    <row r="55" spans="1:11" x14ac:dyDescent="0.3">
      <c r="A55" s="8" t="s">
        <v>278</v>
      </c>
      <c r="B55">
        <v>77</v>
      </c>
      <c r="C55" s="1" t="s">
        <v>411</v>
      </c>
      <c r="D55">
        <v>1</v>
      </c>
      <c r="F55" t="s">
        <v>178</v>
      </c>
      <c r="H55" s="3" t="str">
        <f t="shared" si="13"/>
        <v>3d Printed Parts</v>
      </c>
      <c r="I55" s="3" t="str">
        <f t="shared" si="14"/>
        <v>Flexihal or Mesa7i96s Mounting Plate (1)</v>
      </c>
      <c r="J55" s="3" t="str">
        <f t="shared" si="15"/>
        <v/>
      </c>
      <c r="K55" s="3" t="str">
        <f t="shared" si="16"/>
        <v/>
      </c>
    </row>
    <row r="56" spans="1:11" x14ac:dyDescent="0.3">
      <c r="A56" s="8" t="s">
        <v>301</v>
      </c>
      <c r="B56">
        <v>78</v>
      </c>
      <c r="C56" s="1" t="s">
        <v>412</v>
      </c>
      <c r="D56">
        <v>1</v>
      </c>
      <c r="F56" t="s">
        <v>179</v>
      </c>
      <c r="H56" s="3" t="str">
        <f t="shared" si="13"/>
        <v>3d Printed Parts</v>
      </c>
      <c r="I56" s="3" t="str">
        <f t="shared" si="14"/>
        <v>Flexihal or Mesa7i96s Mounting Plate (1)</v>
      </c>
      <c r="J56" s="3" t="str">
        <f t="shared" si="15"/>
        <v>GH2k or Relay Din Clamp 2x</v>
      </c>
      <c r="K56" s="3" t="str">
        <f t="shared" si="16"/>
        <v/>
      </c>
    </row>
    <row r="57" spans="1:11" x14ac:dyDescent="0.3">
      <c r="A57" s="8" t="s">
        <v>301</v>
      </c>
      <c r="B57">
        <v>79</v>
      </c>
      <c r="C57" s="1" t="s">
        <v>413</v>
      </c>
      <c r="D57">
        <v>1</v>
      </c>
      <c r="F57" t="s">
        <v>180</v>
      </c>
      <c r="H57" s="3" t="str">
        <f t="shared" si="13"/>
        <v>3d Printed Parts</v>
      </c>
      <c r="I57" s="3" t="str">
        <f t="shared" si="14"/>
        <v>Flexihal or Mesa7i96s Mounting Plate (1)</v>
      </c>
      <c r="J57" s="3" t="str">
        <f t="shared" si="15"/>
        <v>GH2k or Relay Din Clamp 2x:2</v>
      </c>
      <c r="K57" s="3" t="str">
        <f t="shared" si="16"/>
        <v/>
      </c>
    </row>
    <row r="58" spans="1:11" x14ac:dyDescent="0.3">
      <c r="A58" s="8" t="s">
        <v>275</v>
      </c>
      <c r="B58">
        <v>80</v>
      </c>
      <c r="C58" s="1" t="s">
        <v>414</v>
      </c>
      <c r="D58">
        <v>2</v>
      </c>
      <c r="F58" t="s">
        <v>181</v>
      </c>
      <c r="H58" s="3" t="str">
        <f t="shared" si="13"/>
        <v>3d Printed Parts</v>
      </c>
      <c r="I58" s="3" t="str">
        <f t="shared" si="14"/>
        <v>150W Power Supply Clip</v>
      </c>
      <c r="J58" s="3" t="str">
        <f t="shared" si="15"/>
        <v/>
      </c>
      <c r="K58" s="3" t="str">
        <f t="shared" si="16"/>
        <v/>
      </c>
    </row>
    <row r="59" spans="1:11" x14ac:dyDescent="0.3">
      <c r="A59" s="8" t="s">
        <v>275</v>
      </c>
      <c r="B59">
        <v>81</v>
      </c>
      <c r="C59" s="1" t="s">
        <v>415</v>
      </c>
      <c r="D59">
        <v>2</v>
      </c>
      <c r="F59" t="s">
        <v>182</v>
      </c>
      <c r="H59" s="3" t="str">
        <f t="shared" si="13"/>
        <v>3d Printed Parts</v>
      </c>
      <c r="I59" s="3" t="str">
        <f t="shared" si="14"/>
        <v>350W Power Supply Clip</v>
      </c>
      <c r="J59" s="3" t="str">
        <f t="shared" si="15"/>
        <v/>
      </c>
      <c r="K59" s="3" t="str">
        <f t="shared" si="16"/>
        <v/>
      </c>
    </row>
    <row r="60" spans="1:11" x14ac:dyDescent="0.3">
      <c r="A60" s="8" t="s">
        <v>275</v>
      </c>
      <c r="B60">
        <v>82</v>
      </c>
      <c r="C60" s="1" t="s">
        <v>415</v>
      </c>
      <c r="D60">
        <v>2</v>
      </c>
      <c r="F60" t="s">
        <v>183</v>
      </c>
      <c r="H60" s="3" t="str">
        <f t="shared" si="13"/>
        <v>3d Printed Parts</v>
      </c>
      <c r="I60" s="3" t="str">
        <f t="shared" si="14"/>
        <v>450W Power Supply Clip</v>
      </c>
      <c r="J60" s="3" t="str">
        <f t="shared" si="15"/>
        <v/>
      </c>
      <c r="K60" s="3" t="str">
        <f t="shared" si="16"/>
        <v/>
      </c>
    </row>
    <row r="61" spans="1:11" x14ac:dyDescent="0.3">
      <c r="C61" s="1"/>
      <c r="G61">
        <f>SUM(G5:G60)</f>
        <v>3369</v>
      </c>
    </row>
    <row r="62" spans="1:11" x14ac:dyDescent="0.3">
      <c r="C62" s="1"/>
    </row>
    <row r="63" spans="1:11" x14ac:dyDescent="0.3">
      <c r="C63" s="1"/>
    </row>
  </sheetData>
  <mergeCells count="1">
    <mergeCell ref="M2:R2"/>
  </mergeCells>
  <hyperlinks>
    <hyperlink ref="A27" r:id="rId1" xr:uid="{FE6ADC1B-1330-4FAF-9083-BAA56A2FE8EA}"/>
    <hyperlink ref="A5" r:id="rId2" xr:uid="{4DE2BA03-26DD-48D2-8217-7B39431FC351}"/>
    <hyperlink ref="A6" r:id="rId3" xr:uid="{F41E31C8-DCFF-4149-8197-7045819EC384}"/>
    <hyperlink ref="A8" r:id="rId4" xr:uid="{038A48E5-8559-4F1C-A78B-35C3D9171493}"/>
    <hyperlink ref="A9" r:id="rId5" xr:uid="{9D9A7F41-2520-46E0-B7BF-EB1C914AA8FD}"/>
    <hyperlink ref="A10" r:id="rId6" xr:uid="{F1E405FA-16AE-493E-9387-2F93D7E5891B}"/>
    <hyperlink ref="A11" r:id="rId7" xr:uid="{3F21F3F0-A626-4771-B49B-0D0EDC3B132F}"/>
    <hyperlink ref="A12" r:id="rId8" xr:uid="{3D74AAF5-01C5-4D0E-9E73-69CF537BDB71}"/>
    <hyperlink ref="A7" r:id="rId9" xr:uid="{DE2A0A1C-DDC1-467A-97D3-E2BDCD484E32}"/>
    <hyperlink ref="A13" r:id="rId10" xr:uid="{0809FB45-B736-4354-A78D-51F2BE71EF91}"/>
    <hyperlink ref="A14" r:id="rId11" xr:uid="{2E090FDB-9560-4C31-B047-059A16FE6907}"/>
    <hyperlink ref="A15" r:id="rId12" xr:uid="{8F146870-35B3-461F-96E9-21C2D6D3A6D5}"/>
    <hyperlink ref="A16" r:id="rId13" xr:uid="{FC2E3D39-AEF2-409F-BA43-24F19AA49AA2}"/>
    <hyperlink ref="A17" r:id="rId14" xr:uid="{409177FD-1B8E-4016-B28D-E57C7DC29293}"/>
    <hyperlink ref="A18" r:id="rId15" xr:uid="{5E772D2E-B8B2-48C4-BA5E-794A0C349717}"/>
    <hyperlink ref="A20" r:id="rId16" xr:uid="{43A6EB6E-A796-497D-90B9-356E97B4EFEF}"/>
    <hyperlink ref="A21" r:id="rId17" xr:uid="{351F9C72-B128-40D5-8291-DAD92989A95F}"/>
    <hyperlink ref="A22" r:id="rId18" xr:uid="{3DD094A3-032E-40E7-8951-24C477CC1BBE}"/>
    <hyperlink ref="A23" r:id="rId19" xr:uid="{3312934A-A86E-4EC9-AF8C-AE48A4D23FD1}"/>
    <hyperlink ref="A24" r:id="rId20" xr:uid="{0B4CC147-ECE8-465F-9367-78766A80258C}"/>
    <hyperlink ref="A25" r:id="rId21" xr:uid="{08290CD2-0133-4981-9B83-FB674CB87E78}"/>
    <hyperlink ref="A26" r:id="rId22" xr:uid="{D2128539-049B-4829-9AEF-AF10C2610407}"/>
    <hyperlink ref="A28" r:id="rId23" xr:uid="{275D3941-3B3D-49AE-8583-A2F7E4593BFC}"/>
    <hyperlink ref="A19" r:id="rId24" xr:uid="{9F557884-C325-4D6D-B355-851EC2012BF8}"/>
    <hyperlink ref="A29" r:id="rId25" xr:uid="{6C4E0A18-8ABE-4715-929E-DE9B280B31E6}"/>
    <hyperlink ref="A31" r:id="rId26" xr:uid="{BC6C6A83-5BAF-45BE-84DC-3FA5E4BE9F06}"/>
    <hyperlink ref="A32" r:id="rId27" xr:uid="{E6D9B1E1-CB02-41C0-850F-5BB598F3F0BC}"/>
    <hyperlink ref="A33" r:id="rId28" xr:uid="{30FA1AE8-3EBD-4D26-86C2-9B19BB0CCE8B}"/>
    <hyperlink ref="A34" r:id="rId29" xr:uid="{5080DCFB-E1E5-4BD7-B23B-3A4E0A032EB7}"/>
    <hyperlink ref="A35" r:id="rId30" xr:uid="{125A77CA-7E12-4E05-8F2B-8BCE72D274C5}"/>
    <hyperlink ref="A38" r:id="rId31" xr:uid="{6E3CA854-0652-4193-8FEF-4B6238A498FC}"/>
    <hyperlink ref="A40" r:id="rId32" xr:uid="{3475D7FE-C06A-4312-A05B-35119EDF96BB}"/>
    <hyperlink ref="A41" r:id="rId33" xr:uid="{A9AAAB92-ACD6-41BD-918F-0F345783048F}"/>
    <hyperlink ref="A42" r:id="rId34" xr:uid="{55283357-B780-49B7-A225-90515D165E40}"/>
    <hyperlink ref="A43" r:id="rId35" xr:uid="{1ED8FA59-7675-4740-BBFF-DFAC80A8D451}"/>
    <hyperlink ref="A44" r:id="rId36" xr:uid="{B482D2A6-2B2B-449B-9AF1-6CA50C8236CD}"/>
    <hyperlink ref="A45" r:id="rId37" xr:uid="{450E67FB-3A5C-44A5-9777-E2CFB1A4C4CA}"/>
    <hyperlink ref="A46" r:id="rId38" xr:uid="{08889EC3-9912-418F-A811-672549C03168}"/>
    <hyperlink ref="A47" r:id="rId39" xr:uid="{FDFBF8EB-D678-471F-9A47-FD144C18D8BC}"/>
    <hyperlink ref="A48" r:id="rId40" xr:uid="{D9A03B83-99B7-4459-A6E7-AF5862130740}"/>
    <hyperlink ref="A49" r:id="rId41" xr:uid="{B99901F5-05C1-470A-8D07-BB25A5503DA7}"/>
    <hyperlink ref="A50" r:id="rId42" xr:uid="{75363FC7-F3F4-422C-98F1-332CEF375E78}"/>
    <hyperlink ref="A51" r:id="rId43" xr:uid="{612D5418-A99B-4B23-B9EC-4354CB6976EF}"/>
    <hyperlink ref="A52" r:id="rId44" xr:uid="{43A15AC3-DE58-434F-A05B-9393910B6A24}"/>
    <hyperlink ref="A53" r:id="rId45" xr:uid="{68444488-95A1-49C8-8AC5-D530A4CC537A}"/>
    <hyperlink ref="A54" r:id="rId46" xr:uid="{4AFB0ED8-4614-447C-ACF2-87450BD70B53}"/>
    <hyperlink ref="A56" r:id="rId47" xr:uid="{2430E2E3-D660-4441-8359-6A2A0162039E}"/>
    <hyperlink ref="A57" r:id="rId48" xr:uid="{A57742EA-3EBC-4745-8FAE-C2ED51CFD394}"/>
    <hyperlink ref="A58" r:id="rId49" xr:uid="{A4BAB0A0-270A-466C-9E9C-4FFD37CD05C6}"/>
    <hyperlink ref="A59" r:id="rId50" xr:uid="{C72709D9-EABD-48DC-BF8B-75C300F395E5}"/>
    <hyperlink ref="A60" r:id="rId51" xr:uid="{D03541BD-7813-4CFC-A668-5C430587D1F2}"/>
    <hyperlink ref="A55" r:id="rId52" xr:uid="{835E26BA-BCF3-4FD4-BD0F-71CEF10CF66E}"/>
    <hyperlink ref="A36" r:id="rId53" xr:uid="{74050D38-0406-4B89-A3C0-69F3BB721255}"/>
    <hyperlink ref="A30" r:id="rId54" xr:uid="{65C4EFEC-9AAD-4460-AF43-AC9E3B4EE2AA}"/>
    <hyperlink ref="A37" r:id="rId55" xr:uid="{CED776B2-3D74-4A7F-8287-50FC077D5700}"/>
  </hyperlinks>
  <pageMargins left="0.7" right="0.7" top="0.75" bottom="0.75" header="0.3" footer="0.3"/>
  <tableParts count="1">
    <tablePart r:id="rId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Frezarka</vt:lpstr>
      <vt:lpstr>Elektronika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Bartlomiej Tokarzewski</cp:lastModifiedBy>
  <dcterms:created xsi:type="dcterms:W3CDTF">2026-04-18T21:21:01Z</dcterms:created>
  <dcterms:modified xsi:type="dcterms:W3CDTF">2026-04-24T19:05:34Z</dcterms:modified>
</cp:coreProperties>
</file>