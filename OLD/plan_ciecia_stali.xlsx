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inkpad\Proton Drive\tokarzewski\My files\PrintNC\"/>
    </mc:Choice>
  </mc:AlternateContent>
  <xr:revisionPtr revIDLastSave="0" documentId="13_ncr:1_{9B6DE8CB-6CE5-4E72-A595-769ACF9895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Cię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Q12" i="1"/>
  <c r="P12" i="1"/>
  <c r="O12" i="1"/>
  <c r="N12" i="1"/>
  <c r="M12" i="1"/>
  <c r="M13" i="1"/>
  <c r="N13" i="1"/>
  <c r="O13" i="1"/>
  <c r="F19" i="1"/>
  <c r="E20" i="1" s="1"/>
  <c r="F20" i="1" s="1"/>
  <c r="E21" i="1" s="1"/>
  <c r="F13" i="1"/>
  <c r="E14" i="1" s="1"/>
  <c r="F14" i="1" s="1"/>
  <c r="E15" i="1" s="1"/>
  <c r="F15" i="1" s="1"/>
  <c r="E16" i="1" s="1"/>
  <c r="F21" i="1" l="1"/>
  <c r="F16" i="1"/>
  <c r="E17" i="1" l="1"/>
  <c r="F17" i="1" s="1"/>
  <c r="E18" i="1" s="1"/>
  <c r="F18" i="1" s="1"/>
  <c r="G18" i="1" s="1"/>
  <c r="S12" i="1" s="1"/>
  <c r="G21" i="1"/>
  <c r="P13" i="1" s="1"/>
</calcChain>
</file>

<file path=xl/sharedStrings.xml><?xml version="1.0" encoding="utf-8"?>
<sst xmlns="http://schemas.openxmlformats.org/spreadsheetml/2006/main" count="57" uniqueCount="49">
  <si>
    <t>PLAN CIĘCIA STALI  ·  Profil 80×80×3 mm  ·  Belki 6 m</t>
  </si>
  <si>
    <t>ZESTAWIENIE ELEMENTÓW DO CIĘCIA</t>
  </si>
  <si>
    <t>Profil</t>
  </si>
  <si>
    <t>Długość (cm)</t>
  </si>
  <si>
    <t>Ilość (szt.)</t>
  </si>
  <si>
    <t>Łącznie (cm)</t>
  </si>
  <si>
    <t>80×80×3</t>
  </si>
  <si>
    <t>136 cm</t>
  </si>
  <si>
    <t>5 szt.</t>
  </si>
  <si>
    <t>680 cm</t>
  </si>
  <si>
    <t>133 cm</t>
  </si>
  <si>
    <t>2 szt.</t>
  </si>
  <si>
    <t>266 cm</t>
  </si>
  <si>
    <t>15 cm</t>
  </si>
  <si>
    <t>30 cm</t>
  </si>
  <si>
    <t>RAZEM</t>
  </si>
  <si>
    <t>9 szt.</t>
  </si>
  <si>
    <t>976 cm</t>
  </si>
  <si>
    <t>PLAN CIĘCIA – KOLEJNOŚĆ I POZYCJE</t>
  </si>
  <si>
    <t>Belka</t>
  </si>
  <si>
    <t>Cięcie #</t>
  </si>
  <si>
    <t>Od (cm)</t>
  </si>
  <si>
    <t>Do (cm)</t>
  </si>
  <si>
    <t>Odpad belki (cm)</t>
  </si>
  <si>
    <t>Wykorz. (%)</t>
  </si>
  <si>
    <t>Belka 1</t>
  </si>
  <si>
    <t>95.7%</t>
  </si>
  <si>
    <t>Belka 2</t>
  </si>
  <si>
    <t>67.0%</t>
  </si>
  <si>
    <t>PODSUMOWANIE MATERIAŁOWE</t>
  </si>
  <si>
    <t>Liczba belek 6m do zakupu</t>
  </si>
  <si>
    <t>Łączny materiał</t>
  </si>
  <si>
    <t>1200 cm  (12 m)</t>
  </si>
  <si>
    <t>Materiał w kawałkach</t>
  </si>
  <si>
    <t>Strata na cięcia</t>
  </si>
  <si>
    <t>2.7 cm</t>
  </si>
  <si>
    <t>Odpad końcowy (do ewentualnego użycia)</t>
  </si>
  <si>
    <t>221.3 cm</t>
  </si>
  <si>
    <t>Wykorzystanie materiału</t>
  </si>
  <si>
    <t>81.3%</t>
  </si>
  <si>
    <t>SCHEMAT WIZUALNY BELEK (proporcjonalny)</t>
  </si>
  <si>
    <t>UWAGI DO CIĘCIA</t>
  </si>
  <si>
    <t>1. Cięcia wykonywać w podanej kolejności, od lewej do prawej (minimalizuje błędy pomiarowe).</t>
  </si>
  <si>
    <t>2. Szczelina cięcia przyjęta 3 mm – dostosuj do używanej piły/szlifierki.</t>
  </si>
  <si>
    <t>3. Kawałki 15 cm umieszczono na końcu Belki 1 – można docinać na ostatek jako wypełnienie.</t>
  </si>
  <si>
    <t>4. Odpad z Belki 2 (ok. 197 cm) zachować – może służyć do przyszłych uzupełnień.</t>
  </si>
  <si>
    <t>Szczelina cięcia</t>
  </si>
  <si>
    <t>Algorytm: First Fit Decreasing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</si>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</sst>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222222"/>
      <name val="Arial"/>
    </font>
    <font>
      <b/>
      <sz val="10"/>
      <color rgb="FF222222"/>
      <name val="Arial"/>
    </font>
    <font>
      <b/>
      <sz val="10"/>
      <color rgb="FF1B3A5C"/>
      <name val="Arial"/>
    </font>
    <font>
      <b/>
      <sz val="10"/>
      <color rgb="FF196F3D"/>
      <name val="Arial"/>
    </font>
    <font>
      <sz val="9"/>
      <color rgb="FF444444"/>
      <name val="Arial"/>
    </font>
    <font>
      <sz val="11"/>
      <color theme="0"/>
      <name val="Calibri"/>
      <family val="2"/>
      <scheme val="minor"/>
    </font>
    <font>
      <i/>
      <sz val="9"/>
      <color theme="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i/>
      <sz val="10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563A8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DDE3EC"/>
      </patternFill>
    </fill>
    <fill>
      <patternFill patternType="solid">
        <fgColor rgb="FFAED6F1"/>
      </patternFill>
    </fill>
    <fill>
      <patternFill patternType="solid">
        <fgColor rgb="FF7FB3D3"/>
      </patternFill>
    </fill>
    <fill>
      <patternFill patternType="solid">
        <fgColor rgb="FFA9DFBF"/>
      </patternFill>
    </fill>
    <fill>
      <patternFill patternType="solid">
        <fgColor rgb="FF82C8A0"/>
      </patternFill>
    </fill>
    <fill>
      <patternFill patternType="solid">
        <fgColor rgb="FFE87722"/>
      </patternFill>
    </fill>
    <fill>
      <patternFill patternType="solid">
        <fgColor rgb="FFD5F5E3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A9D18E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rgb="FF196F3D"/>
      </left>
      <right style="medium">
        <color rgb="FF196F3D"/>
      </right>
      <top style="medium">
        <color rgb="FF196F3D"/>
      </top>
      <bottom style="medium">
        <color rgb="FF196F3D"/>
      </bottom>
      <diagonal/>
    </border>
    <border>
      <left/>
      <right style="thin">
        <color rgb="FFAAAAAA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11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7" fillId="12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/>
    <xf numFmtId="0" fontId="0" fillId="18" borderId="0" xfId="0" applyFill="1" applyAlignment="1"/>
    <xf numFmtId="0" fontId="9" fillId="18" borderId="0" xfId="0" applyFont="1" applyFill="1" applyAlignment="1">
      <alignment horizontal="center"/>
    </xf>
    <xf numFmtId="0" fontId="9" fillId="18" borderId="0" xfId="0" applyFont="1" applyFill="1" applyAlignment="1"/>
    <xf numFmtId="0" fontId="10" fillId="18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zoomScale="85" zoomScaleNormal="85" workbookViewId="0">
      <selection activeCell="N24" sqref="N24"/>
    </sheetView>
  </sheetViews>
  <sheetFormatPr defaultRowHeight="15" x14ac:dyDescent="0.25"/>
  <cols>
    <col min="1" max="1" width="4" customWidth="1"/>
    <col min="2" max="3" width="10" customWidth="1"/>
    <col min="4" max="6" width="14" customWidth="1"/>
    <col min="7" max="7" width="18" customWidth="1"/>
    <col min="8" max="8" width="14" customWidth="1"/>
    <col min="9" max="10" width="5" customWidth="1"/>
    <col min="11" max="11" width="4.140625" customWidth="1"/>
    <col min="12" max="12" width="7.7109375" bestFit="1" customWidth="1"/>
    <col min="13" max="16" width="14.28515625" customWidth="1"/>
    <col min="17" max="18" width="3" bestFit="1" customWidth="1"/>
    <col min="19" max="19" width="3.7109375" customWidth="1"/>
  </cols>
  <sheetData>
    <row r="1" spans="1:19" ht="27.9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9" ht="15.95" customHeight="1" x14ac:dyDescent="0.25">
      <c r="A2" s="29" t="s">
        <v>47</v>
      </c>
      <c r="B2" s="29"/>
      <c r="C2" s="29"/>
      <c r="D2" s="29"/>
      <c r="E2" s="29"/>
      <c r="F2" s="27" t="s">
        <v>46</v>
      </c>
      <c r="G2" s="28">
        <v>0.3</v>
      </c>
      <c r="H2" s="28" t="s">
        <v>48</v>
      </c>
      <c r="I2" s="26"/>
      <c r="J2" s="26"/>
    </row>
    <row r="4" spans="1:19" ht="20.100000000000001" customHeight="1" x14ac:dyDescent="0.25">
      <c r="A4" s="11" t="s">
        <v>1</v>
      </c>
      <c r="B4" s="9"/>
      <c r="C4" s="9"/>
      <c r="D4" s="9"/>
      <c r="E4" s="9"/>
      <c r="F4" s="9"/>
      <c r="G4" s="9"/>
      <c r="H4" s="9"/>
      <c r="I4" s="9"/>
      <c r="J4" s="9"/>
    </row>
    <row r="5" spans="1:19" ht="18" customHeight="1" x14ac:dyDescent="0.25">
      <c r="B5" s="1" t="s">
        <v>2</v>
      </c>
      <c r="C5" s="1" t="s">
        <v>3</v>
      </c>
      <c r="D5" s="1" t="s">
        <v>4</v>
      </c>
      <c r="E5" s="1" t="s">
        <v>5</v>
      </c>
    </row>
    <row r="6" spans="1:19" ht="18" customHeight="1" x14ac:dyDescent="0.25">
      <c r="B6" s="2" t="s">
        <v>6</v>
      </c>
      <c r="C6" s="2" t="s">
        <v>7</v>
      </c>
      <c r="D6" s="2" t="s">
        <v>8</v>
      </c>
      <c r="E6" s="2" t="s">
        <v>9</v>
      </c>
    </row>
    <row r="7" spans="1:19" ht="18" customHeight="1" x14ac:dyDescent="0.25">
      <c r="B7" s="3" t="s">
        <v>6</v>
      </c>
      <c r="C7" s="3" t="s">
        <v>10</v>
      </c>
      <c r="D7" s="3" t="s">
        <v>11</v>
      </c>
      <c r="E7" s="3" t="s">
        <v>12</v>
      </c>
    </row>
    <row r="8" spans="1:19" ht="18" customHeight="1" x14ac:dyDescent="0.25">
      <c r="B8" s="2" t="s">
        <v>6</v>
      </c>
      <c r="C8" s="2" t="s">
        <v>13</v>
      </c>
      <c r="D8" s="2" t="s">
        <v>11</v>
      </c>
      <c r="E8" s="2" t="s">
        <v>14</v>
      </c>
    </row>
    <row r="9" spans="1:19" ht="18" customHeight="1" x14ac:dyDescent="0.25">
      <c r="B9" s="4" t="s">
        <v>15</v>
      </c>
      <c r="C9" s="4" t="s">
        <v>16</v>
      </c>
      <c r="D9" s="4" t="s">
        <v>17</v>
      </c>
    </row>
    <row r="11" spans="1:19" ht="20.100000000000001" customHeight="1" x14ac:dyDescent="0.25">
      <c r="A11" s="11" t="s">
        <v>18</v>
      </c>
      <c r="B11" s="9"/>
      <c r="C11" s="9"/>
      <c r="D11" s="9"/>
      <c r="E11" s="9"/>
      <c r="F11" s="9"/>
      <c r="G11" s="9"/>
      <c r="H11" s="9"/>
      <c r="I11" s="9"/>
      <c r="J11" s="9"/>
      <c r="L11" s="10" t="s">
        <v>40</v>
      </c>
      <c r="M11" s="10"/>
      <c r="N11" s="10"/>
      <c r="O11" s="10"/>
      <c r="P11" s="10"/>
      <c r="Q11" s="10"/>
      <c r="R11" s="10"/>
      <c r="S11" s="10"/>
    </row>
    <row r="12" spans="1:19" ht="18" customHeight="1" x14ac:dyDescent="0.25">
      <c r="B12" s="1" t="s">
        <v>19</v>
      </c>
      <c r="C12" s="1" t="s">
        <v>20</v>
      </c>
      <c r="D12" s="1" t="s">
        <v>3</v>
      </c>
      <c r="E12" s="1" t="s">
        <v>21</v>
      </c>
      <c r="F12" s="1" t="s">
        <v>22</v>
      </c>
      <c r="G12" s="1" t="s">
        <v>23</v>
      </c>
      <c r="H12" s="1" t="s">
        <v>24</v>
      </c>
      <c r="L12" s="7" t="s">
        <v>25</v>
      </c>
      <c r="M12" s="30">
        <f>D13</f>
        <v>136</v>
      </c>
      <c r="N12" s="31">
        <f>D14</f>
        <v>136</v>
      </c>
      <c r="O12" s="32">
        <f>D15</f>
        <v>136</v>
      </c>
      <c r="P12" s="33">
        <f>D16</f>
        <v>136</v>
      </c>
      <c r="Q12" s="34">
        <f>D17</f>
        <v>15</v>
      </c>
      <c r="R12" s="34">
        <f>D18</f>
        <v>15</v>
      </c>
      <c r="S12" s="36">
        <f>G18</f>
        <v>24.2</v>
      </c>
    </row>
    <row r="13" spans="1:19" ht="17.100000000000001" customHeight="1" x14ac:dyDescent="0.25">
      <c r="B13" s="18" t="s">
        <v>25</v>
      </c>
      <c r="C13" s="5">
        <v>1</v>
      </c>
      <c r="D13" s="5">
        <v>136</v>
      </c>
      <c r="E13" s="5">
        <v>0</v>
      </c>
      <c r="F13" s="5">
        <f>D13</f>
        <v>136</v>
      </c>
      <c r="G13" s="5"/>
      <c r="H13" s="5"/>
      <c r="L13" s="7" t="s">
        <v>27</v>
      </c>
      <c r="M13" s="30">
        <f>D19</f>
        <v>136</v>
      </c>
      <c r="N13" s="31">
        <f>D20</f>
        <v>133</v>
      </c>
      <c r="O13" s="32">
        <f>D21</f>
        <v>133</v>
      </c>
      <c r="P13" s="35">
        <f>G21</f>
        <v>197.09999999999997</v>
      </c>
      <c r="Q13" s="35"/>
      <c r="R13" s="35"/>
      <c r="S13" s="35"/>
    </row>
    <row r="14" spans="1:19" ht="17.100000000000001" customHeight="1" x14ac:dyDescent="0.25">
      <c r="B14" s="19"/>
      <c r="C14" s="5">
        <v>2</v>
      </c>
      <c r="D14" s="5">
        <v>136</v>
      </c>
      <c r="E14" s="5">
        <f>F13+G$2</f>
        <v>136.30000000000001</v>
      </c>
      <c r="F14" s="5">
        <f>D14+E14</f>
        <v>272.3</v>
      </c>
      <c r="G14" s="5"/>
      <c r="H14" s="5"/>
    </row>
    <row r="15" spans="1:19" ht="17.100000000000001" customHeight="1" x14ac:dyDescent="0.25">
      <c r="B15" s="19"/>
      <c r="C15" s="5">
        <v>3</v>
      </c>
      <c r="D15" s="5">
        <v>136</v>
      </c>
      <c r="E15" s="5">
        <f>F14+G$2</f>
        <v>272.60000000000002</v>
      </c>
      <c r="F15" s="5">
        <f>D15+E15</f>
        <v>408.6</v>
      </c>
      <c r="G15" s="5"/>
      <c r="H15" s="5"/>
    </row>
    <row r="16" spans="1:19" ht="17.100000000000001" customHeight="1" x14ac:dyDescent="0.25">
      <c r="B16" s="19"/>
      <c r="C16" s="5">
        <v>4</v>
      </c>
      <c r="D16" s="5">
        <v>136</v>
      </c>
      <c r="E16" s="5">
        <f>F15+G$2</f>
        <v>408.90000000000003</v>
      </c>
      <c r="F16" s="5">
        <f>D16+E16</f>
        <v>544.90000000000009</v>
      </c>
      <c r="G16" s="5"/>
      <c r="H16" s="5"/>
    </row>
    <row r="17" spans="1:10" ht="17.100000000000001" customHeight="1" x14ac:dyDescent="0.25">
      <c r="B17" s="19"/>
      <c r="C17" s="5">
        <v>5</v>
      </c>
      <c r="D17" s="5">
        <v>15</v>
      </c>
      <c r="E17" s="5">
        <f>F16+G$2</f>
        <v>545.20000000000005</v>
      </c>
      <c r="F17" s="5">
        <f>D17+E17</f>
        <v>560.20000000000005</v>
      </c>
      <c r="G17" s="5"/>
      <c r="H17" s="5"/>
    </row>
    <row r="18" spans="1:10" ht="17.100000000000001" customHeight="1" x14ac:dyDescent="0.25">
      <c r="B18" s="20"/>
      <c r="C18" s="5">
        <v>6</v>
      </c>
      <c r="D18" s="5">
        <v>15</v>
      </c>
      <c r="E18" s="5">
        <f t="shared" ref="E18" si="0">F17+G$2</f>
        <v>560.5</v>
      </c>
      <c r="F18" s="5">
        <f>D18+E18</f>
        <v>575.5</v>
      </c>
      <c r="G18" s="5">
        <f>600-F18-G2</f>
        <v>24.2</v>
      </c>
      <c r="H18" s="5" t="s">
        <v>26</v>
      </c>
    </row>
    <row r="19" spans="1:10" ht="17.100000000000001" customHeight="1" x14ac:dyDescent="0.25">
      <c r="B19" s="23" t="s">
        <v>27</v>
      </c>
      <c r="C19" s="6">
        <v>1</v>
      </c>
      <c r="D19" s="6">
        <v>136</v>
      </c>
      <c r="E19" s="6">
        <v>0</v>
      </c>
      <c r="F19" s="6">
        <f>D19</f>
        <v>136</v>
      </c>
      <c r="G19" s="6"/>
      <c r="H19" s="6"/>
    </row>
    <row r="20" spans="1:10" ht="17.100000000000001" customHeight="1" x14ac:dyDescent="0.25">
      <c r="B20" s="19"/>
      <c r="C20" s="6">
        <v>2</v>
      </c>
      <c r="D20" s="6">
        <v>133</v>
      </c>
      <c r="E20" s="6">
        <f>F19+G$2</f>
        <v>136.30000000000001</v>
      </c>
      <c r="F20" s="6">
        <f>E20+D20</f>
        <v>269.3</v>
      </c>
      <c r="G20" s="6"/>
      <c r="H20" s="6"/>
    </row>
    <row r="21" spans="1:10" ht="17.100000000000001" customHeight="1" x14ac:dyDescent="0.25">
      <c r="B21" s="20"/>
      <c r="C21" s="6">
        <v>3</v>
      </c>
      <c r="D21" s="6">
        <v>133</v>
      </c>
      <c r="E21" s="6">
        <f>F20+G$2</f>
        <v>269.60000000000002</v>
      </c>
      <c r="F21" s="6">
        <f>E21+D21</f>
        <v>402.6</v>
      </c>
      <c r="G21" s="6">
        <f>600-F21-G2</f>
        <v>197.09999999999997</v>
      </c>
      <c r="H21" s="6" t="s">
        <v>28</v>
      </c>
    </row>
    <row r="23" spans="1:10" ht="20.100000000000001" customHeight="1" x14ac:dyDescent="0.25">
      <c r="A23" s="8" t="s">
        <v>29</v>
      </c>
      <c r="B23" s="9"/>
      <c r="C23" s="9"/>
      <c r="D23" s="9"/>
      <c r="E23" s="9"/>
      <c r="F23" s="9"/>
      <c r="G23" s="9"/>
      <c r="H23" s="9"/>
      <c r="I23" s="9"/>
      <c r="J23" s="9"/>
    </row>
    <row r="24" spans="1:10" ht="18" customHeight="1" x14ac:dyDescent="0.25">
      <c r="B24" s="14" t="s">
        <v>30</v>
      </c>
      <c r="C24" s="9"/>
      <c r="D24" s="9"/>
      <c r="E24" s="9"/>
      <c r="F24" s="9"/>
      <c r="G24" s="9"/>
      <c r="H24" s="15" t="s">
        <v>11</v>
      </c>
      <c r="I24" s="9"/>
      <c r="J24" s="9"/>
    </row>
    <row r="25" spans="1:10" ht="18" customHeight="1" x14ac:dyDescent="0.25">
      <c r="B25" s="22" t="s">
        <v>31</v>
      </c>
      <c r="C25" s="9"/>
      <c r="D25" s="9"/>
      <c r="E25" s="9"/>
      <c r="F25" s="9"/>
      <c r="G25" s="9"/>
      <c r="H25" s="16" t="s">
        <v>32</v>
      </c>
      <c r="I25" s="9"/>
      <c r="J25" s="9"/>
    </row>
    <row r="26" spans="1:10" ht="18" customHeight="1" x14ac:dyDescent="0.25">
      <c r="B26" s="14" t="s">
        <v>33</v>
      </c>
      <c r="C26" s="9"/>
      <c r="D26" s="9"/>
      <c r="E26" s="9"/>
      <c r="F26" s="9"/>
      <c r="G26" s="9"/>
      <c r="H26" s="15" t="s">
        <v>17</v>
      </c>
      <c r="I26" s="9"/>
      <c r="J26" s="9"/>
    </row>
    <row r="27" spans="1:10" ht="18" customHeight="1" x14ac:dyDescent="0.25">
      <c r="B27" s="22" t="s">
        <v>34</v>
      </c>
      <c r="C27" s="9"/>
      <c r="D27" s="9"/>
      <c r="E27" s="9"/>
      <c r="F27" s="9"/>
      <c r="G27" s="9"/>
      <c r="H27" s="16" t="s">
        <v>35</v>
      </c>
      <c r="I27" s="9"/>
      <c r="J27" s="9"/>
    </row>
    <row r="28" spans="1:10" ht="18" customHeight="1" x14ac:dyDescent="0.25">
      <c r="B28" s="39" t="s">
        <v>36</v>
      </c>
      <c r="C28" s="40"/>
      <c r="D28" s="40"/>
      <c r="E28" s="40"/>
      <c r="F28" s="40"/>
      <c r="G28" s="41"/>
      <c r="H28" s="37" t="s">
        <v>37</v>
      </c>
      <c r="I28" s="38"/>
      <c r="J28" s="38"/>
    </row>
    <row r="29" spans="1:10" ht="18" customHeight="1" x14ac:dyDescent="0.25">
      <c r="B29" s="13" t="s">
        <v>38</v>
      </c>
      <c r="C29" s="9"/>
      <c r="D29" s="9"/>
      <c r="E29" s="9"/>
      <c r="F29" s="9"/>
      <c r="G29" s="9"/>
      <c r="H29" s="21" t="s">
        <v>39</v>
      </c>
      <c r="I29" s="9"/>
      <c r="J29" s="9"/>
    </row>
    <row r="31" spans="1:10" ht="18" customHeight="1" x14ac:dyDescent="0.25">
      <c r="A31" s="10" t="s">
        <v>41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ht="15.95" customHeight="1" x14ac:dyDescent="0.25">
      <c r="A32" s="12" t="s">
        <v>42</v>
      </c>
      <c r="B32" s="9"/>
      <c r="C32" s="9"/>
      <c r="D32" s="9"/>
      <c r="E32" s="9"/>
      <c r="F32" s="9"/>
      <c r="G32" s="9"/>
      <c r="H32" s="9"/>
      <c r="I32" s="9"/>
      <c r="J32" s="9"/>
    </row>
    <row r="33" spans="1:10" ht="15.95" customHeight="1" x14ac:dyDescent="0.25">
      <c r="A33" s="17" t="s">
        <v>43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ht="15.95" customHeight="1" x14ac:dyDescent="0.25">
      <c r="A34" s="12" t="s">
        <v>44</v>
      </c>
      <c r="B34" s="9"/>
      <c r="C34" s="9"/>
      <c r="D34" s="9"/>
      <c r="E34" s="9"/>
      <c r="F34" s="9"/>
      <c r="G34" s="9"/>
      <c r="H34" s="9"/>
      <c r="I34" s="9"/>
      <c r="J34" s="9"/>
    </row>
    <row r="35" spans="1:10" ht="15.95" customHeight="1" x14ac:dyDescent="0.25">
      <c r="A35" s="17" t="s">
        <v>45</v>
      </c>
      <c r="B35" s="9"/>
      <c r="C35" s="9"/>
      <c r="D35" s="9"/>
      <c r="E35" s="9"/>
      <c r="F35" s="9"/>
      <c r="G35" s="9"/>
      <c r="H35" s="9"/>
      <c r="I35" s="9"/>
      <c r="J35" s="9"/>
    </row>
  </sheetData>
  <mergeCells count="26">
    <mergeCell ref="A2:E2"/>
    <mergeCell ref="A1:J1"/>
    <mergeCell ref="H24:J24"/>
    <mergeCell ref="A32:J32"/>
    <mergeCell ref="B13:B18"/>
    <mergeCell ref="B26:G26"/>
    <mergeCell ref="H26:J26"/>
    <mergeCell ref="H29:J29"/>
    <mergeCell ref="B25:G25"/>
    <mergeCell ref="B27:G27"/>
    <mergeCell ref="B19:B21"/>
    <mergeCell ref="H25:J25"/>
    <mergeCell ref="A35:J35"/>
    <mergeCell ref="A11:J11"/>
    <mergeCell ref="B24:G24"/>
    <mergeCell ref="A33:J33"/>
    <mergeCell ref="P13:S13"/>
    <mergeCell ref="L11:S11"/>
    <mergeCell ref="A23:J23"/>
    <mergeCell ref="A31:J31"/>
    <mergeCell ref="A4:J4"/>
    <mergeCell ref="A34:J34"/>
    <mergeCell ref="B29:G29"/>
    <mergeCell ref="B28:G28"/>
    <mergeCell ref="H28:J28"/>
    <mergeCell ref="H27:J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Cięcia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Bartlomiej Tokarzewski</cp:lastModifiedBy>
  <dcterms:created xsi:type="dcterms:W3CDTF">2026-02-13T18:33:40Z</dcterms:created>
  <dcterms:modified xsi:type="dcterms:W3CDTF">2026-02-13T19:08:47Z</dcterms:modified>
</cp:coreProperties>
</file>